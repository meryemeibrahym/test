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brahym/Desktop/MES OUTILS/"/>
    </mc:Choice>
  </mc:AlternateContent>
  <xr:revisionPtr revIDLastSave="0" documentId="13_ncr:1_{29971A30-DD15-F046-8088-B0658423678C}" xr6:coauthVersionLast="47" xr6:coauthVersionMax="47" xr10:uidLastSave="{00000000-0000-0000-0000-000000000000}"/>
  <bookViews>
    <workbookView xWindow="-380" yWindow="460" windowWidth="14720" windowHeight="15900" tabRatio="500" activeTab="3" xr2:uid="{00000000-000D-0000-FFFF-FFFF00000000}"/>
  </bookViews>
  <sheets>
    <sheet name="📋 Notice" sheetId="5" r:id="rId1"/>
    <sheet name="Paramètres" sheetId="1" r:id="rId2"/>
    <sheet name="Matrice Décision" sheetId="2" r:id="rId3"/>
    <sheet name="ESTIMATION du Plan 20 ans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3" l="1"/>
  <c r="E4" i="3"/>
  <c r="C34" i="1"/>
  <c r="C27" i="1"/>
  <c r="C6" i="1"/>
  <c r="H23" i="3" l="1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16" i="2"/>
  <c r="C16" i="2"/>
  <c r="C8" i="2"/>
  <c r="C40" i="1"/>
  <c r="C36" i="1"/>
  <c r="C28" i="1"/>
  <c r="D14" i="2" s="1"/>
  <c r="C8" i="1"/>
  <c r="C26" i="1" s="1"/>
  <c r="C39" i="1" l="1"/>
  <c r="C23" i="2"/>
  <c r="C15" i="1"/>
  <c r="D15" i="2"/>
  <c r="C10" i="1"/>
  <c r="D23" i="2"/>
  <c r="C4" i="3"/>
  <c r="D6" i="2"/>
  <c r="C6" i="2"/>
  <c r="D7" i="2"/>
  <c r="D25" i="2"/>
  <c r="C14" i="2" l="1"/>
  <c r="C7" i="2"/>
  <c r="D21" i="2"/>
  <c r="D24" i="2"/>
  <c r="D22" i="2"/>
  <c r="D19" i="2"/>
  <c r="C19" i="2"/>
  <c r="C16" i="1"/>
  <c r="C19" i="1" s="1"/>
  <c r="C25" i="2" s="1"/>
  <c r="C9" i="2" l="1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C6" i="3"/>
  <c r="C7" i="3" l="1"/>
  <c r="D21" i="3"/>
  <c r="D19" i="3"/>
  <c r="D15" i="3"/>
  <c r="D13" i="3"/>
  <c r="D11" i="3"/>
  <c r="D9" i="3"/>
  <c r="D7" i="3"/>
  <c r="D5" i="3"/>
  <c r="E5" i="3" s="1"/>
  <c r="D22" i="3"/>
  <c r="D10" i="3"/>
  <c r="D8" i="3"/>
  <c r="D20" i="3"/>
  <c r="D18" i="3"/>
  <c r="D16" i="3"/>
  <c r="D14" i="3"/>
  <c r="D12" i="3"/>
  <c r="D6" i="3"/>
  <c r="E6" i="3" s="1"/>
  <c r="D4" i="3"/>
  <c r="C20" i="1"/>
  <c r="C21" i="1" s="1"/>
  <c r="C13" i="2" s="1"/>
  <c r="D23" i="3"/>
  <c r="D17" i="3"/>
  <c r="C20" i="2"/>
  <c r="C10" i="2"/>
  <c r="C22" i="2"/>
  <c r="C24" i="2"/>
  <c r="C21" i="2"/>
  <c r="D25" i="3" l="1"/>
  <c r="C15" i="2"/>
  <c r="C8" i="3"/>
  <c r="E7" i="3"/>
  <c r="C9" i="3" l="1"/>
  <c r="E8" i="3"/>
  <c r="G4" i="3"/>
  <c r="G5" i="3" s="1"/>
  <c r="G6" i="3" s="1"/>
  <c r="G7" i="3" s="1"/>
  <c r="G8" i="3" l="1"/>
  <c r="C10" i="3"/>
  <c r="E9" i="3"/>
  <c r="C11" i="3" l="1"/>
  <c r="E10" i="3"/>
  <c r="G9" i="3"/>
  <c r="G10" i="3" l="1"/>
  <c r="C12" i="3"/>
  <c r="E11" i="3"/>
  <c r="C13" i="3" l="1"/>
  <c r="E12" i="3"/>
  <c r="G11" i="3"/>
  <c r="G12" i="3" l="1"/>
  <c r="C14" i="3"/>
  <c r="E13" i="3"/>
  <c r="C15" i="3" l="1"/>
  <c r="E14" i="3"/>
  <c r="G13" i="3"/>
  <c r="G14" i="3" l="1"/>
  <c r="C16" i="3"/>
  <c r="E15" i="3"/>
  <c r="G15" i="3" l="1"/>
  <c r="C17" i="3"/>
  <c r="E16" i="3"/>
  <c r="G16" i="3" l="1"/>
  <c r="C18" i="3"/>
  <c r="E17" i="3"/>
  <c r="G17" i="3" l="1"/>
  <c r="C19" i="3"/>
  <c r="E18" i="3"/>
  <c r="G18" i="3" l="1"/>
  <c r="C20" i="3"/>
  <c r="E19" i="3"/>
  <c r="G19" i="3" l="1"/>
  <c r="C21" i="3"/>
  <c r="E20" i="3"/>
  <c r="G20" i="3" l="1"/>
  <c r="C22" i="3"/>
  <c r="E21" i="3"/>
  <c r="G21" i="3" l="1"/>
  <c r="C23" i="3"/>
  <c r="E22" i="3"/>
  <c r="G22" i="3" l="1"/>
  <c r="E23" i="3"/>
  <c r="E25" i="3" s="1"/>
  <c r="C25" i="3"/>
  <c r="G23" i="3" l="1"/>
</calcChain>
</file>

<file path=xl/sharedStrings.xml><?xml version="1.0" encoding="utf-8"?>
<sst xmlns="http://schemas.openxmlformats.org/spreadsheetml/2006/main" count="123" uniqueCount="118">
  <si>
    <t>1. CARACTÉRISTIQUES DU BIEN</t>
  </si>
  <si>
    <t>Prix d'acquisition du Riad (MAD)</t>
  </si>
  <si>
    <t>Budget travaux / rénovation (MAD)</t>
  </si>
  <si>
    <t>Coût total projet (MAD)</t>
  </si>
  <si>
    <t>Taux de change EUR/MAD</t>
  </si>
  <si>
    <t>Coût total projet (EUR)</t>
  </si>
  <si>
    <t>2. PARAMÈTRES FINANCEMENT BANCAIRE (Banque Marocaine)</t>
  </si>
  <si>
    <t>Apport personnel minimal (%)</t>
  </si>
  <si>
    <t>Apport personnel retenu (%)</t>
  </si>
  <si>
    <t>Apport personnel (MAD)</t>
  </si>
  <si>
    <t>Montant emprunté (MAD)</t>
  </si>
  <si>
    <t>Taux d'intérêt annuel</t>
  </si>
  <si>
    <t>Durée du prêt (années)</t>
  </si>
  <si>
    <t>Mensualité (MAD)</t>
  </si>
  <si>
    <t>Total remboursé (MAD)</t>
  </si>
  <si>
    <t>Coût total du crédit (MAD)</t>
  </si>
  <si>
    <t>3. PARAMÈTRES FINANCEMENT PERSONNEL / PATRIMONIAL</t>
  </si>
  <si>
    <t>Capital propre disponible (MAD)</t>
  </si>
  <si>
    <t>Rendement alternatif du capital (%/an)</t>
  </si>
  <si>
    <t>Montant autofinancé (MAD)</t>
  </si>
  <si>
    <t>Coût d'opportunité annuel (MAD)</t>
  </si>
  <si>
    <t>Coût d'opportunité total 20 ans (MAD)</t>
  </si>
  <si>
    <t>4. HYPOTHÈSES DE REVENUS &amp; EXPLOITATION</t>
  </si>
  <si>
    <t>Prix nuit/chambre (MAD)</t>
  </si>
  <si>
    <t>Nombre de chambres</t>
  </si>
  <si>
    <t>Taux d'occupation annuel</t>
  </si>
  <si>
    <t>Revenu brut annuel (MAD)</t>
  </si>
  <si>
    <t>Charges exploitation (% revenus)</t>
  </si>
  <si>
    <t>Revenu net annuel avant charges fin. (MAD)</t>
  </si>
  <si>
    <t>Taux de croissance annuel revenus</t>
  </si>
  <si>
    <t>Frais de gestion déléguée (% revenus)</t>
  </si>
  <si>
    <t>Revenu net après gestion (MAD)</t>
  </si>
  <si>
    <t>Valeur de revente estimée (an 20, +2%/an)</t>
  </si>
  <si>
    <t>LÉGENDE DES COULEURS</t>
  </si>
  <si>
    <t>Input modifiable par l'utilisateur</t>
  </si>
  <si>
    <t>Formule calculée automatiquement</t>
  </si>
  <si>
    <t>Résultat intermédiaire clé</t>
  </si>
  <si>
    <t>CRITÈRES D'ANALYSE</t>
  </si>
  <si>
    <t>A. STRUCTURE DE FINANCEMENT</t>
  </si>
  <si>
    <t>Coût total projet</t>
  </si>
  <si>
    <t>Apport initial (MAD)</t>
  </si>
  <si>
    <t>Apport initial (%)</t>
  </si>
  <si>
    <t>100%</t>
  </si>
  <si>
    <t>Montant financé en dette (MAD)</t>
  </si>
  <si>
    <t>0</t>
  </si>
  <si>
    <t>—</t>
  </si>
  <si>
    <t>B. ANALYSE DU COÛT FINANCIER</t>
  </si>
  <si>
    <t>Coût d'opportunité 20 ans (MAD)</t>
  </si>
  <si>
    <t>Coût financier TOTAL (MAD)</t>
  </si>
  <si>
    <t>Taux de rendement annuel requis (%)</t>
  </si>
  <si>
    <t>C. ANALYSE DE RENTABILITÉ (Cash-Flow &amp; ROI)</t>
  </si>
  <si>
    <t>Revenu net annuel après gestion (MAD)</t>
  </si>
  <si>
    <t>Charges financières annuelles (MAD)</t>
  </si>
  <si>
    <t>Cash-Flow net annuel (MAD)</t>
  </si>
  <si>
    <t>Cash-Flow net annuel (EUR)</t>
  </si>
  <si>
    <t>Rendement brut (sur coût total, %)</t>
  </si>
  <si>
    <t>Rendement net sur fonds propres (ROE, %)</t>
  </si>
  <si>
    <t>Payback (années)</t>
  </si>
  <si>
    <t>D. CRITÈRES QUALITATIFS &amp; RISQUES</t>
  </si>
  <si>
    <t>Disponibilité du capital propre</t>
  </si>
  <si>
    <t>Effet de levier financier</t>
  </si>
  <si>
    <t>Risque de taux / refinancement</t>
  </si>
  <si>
    <t>Souplesse de trésorerie</t>
  </si>
  <si>
    <t>Protection patrimoine personnel</t>
  </si>
  <si>
    <t>Déductibilité intérêts (IS Maroc)</t>
  </si>
  <si>
    <t>Année</t>
  </si>
  <si>
    <t>Revenu brut (MAD)</t>
  </si>
  <si>
    <t>Annuité crédit (MAD)</t>
  </si>
  <si>
    <t>Cash-Flow net (MAD)</t>
  </si>
  <si>
    <t>Capital restant dû (MAD)</t>
  </si>
  <si>
    <t>Cumul CF net (MAD)</t>
  </si>
  <si>
    <t>Valeur estimée riad (MAD)</t>
  </si>
  <si>
    <t>TOTAL</t>
  </si>
  <si>
    <t>► OBJECTIF  →  Cet outil aide l'expert-comptable et l'investisseur franco-marocain à arbitrer entre 3 options de financement pour l'acquisition d'un riad à usage touristique à Marrakech.</t>
  </si>
  <si>
    <t>ONGLETS</t>
  </si>
  <si>
    <t>HYPOTHÈSES DU CAS PRATIQUE</t>
  </si>
  <si>
    <t>► Travaux/rénovation  →  800 000 MAD</t>
  </si>
  <si>
    <t>► Taux crédit  →  6%/an sur 20 ans (Banque Populaire Maroc, hors assurance)</t>
  </si>
  <si>
    <t>► Croissance revenus  →  3%/an (tendance tourisme Marrakech)</t>
  </si>
  <si>
    <t>► Revalorisation bien  →  2%/an (conservateur)</t>
  </si>
  <si>
    <t>CONTEXTE RÉGLEMENTAIRE</t>
  </si>
  <si>
    <t>► Fiscalité  →  Exonération IS sur bénéfices touristiques pendant 5 ans (si classement CRT Marrakech). Intérêts d'emprunt déductibles du résultat imposable.</t>
  </si>
  <si>
    <t>► Structure juridique  →  SARL recommandée pour non-résidents. Capital minimum 10 000 MAD. Gérant local conseillé pour formalités.</t>
  </si>
  <si>
    <t>► Paramètres  →  Saisir toutes les données en JAUNE : prix du bien, apport, taux, durée, revenus estimés.</t>
  </si>
  <si>
    <t>► Plan 20 ans  →  Projection année par année du cash-flow, du capital restant dû et de la valeur du bien (option bancaire).</t>
  </si>
  <si>
    <t>NOTICE D'UTILISATION  MATRICE FINANCEMENT RIAD MARRAKECH</t>
  </si>
  <si>
    <t>Frais d'acquisition (notaire, enregistrement ~10%)</t>
  </si>
  <si>
    <t>► Prix d'acquisition  →  5 500 000 MAD (≈ 550 000 EUR) — riad 8 chambres, Médina Marrakech</t>
  </si>
  <si>
    <t xml:space="preserve">► Apport minimal  →  30% selon réglementation bancaire marocaine </t>
  </si>
  <si>
    <t>► Revenu locatif  →  1 200 MAD/nuit × 8 chambres × 70% taux d'occupation = ~2 278 800 MAD brut</t>
  </si>
  <si>
    <t>► Change &amp; OC  →  Les flux de l'étranger vers le Maroc doivent être tracés via le système bancaire. L'OC (Office des Changes) peut requérir justificatifs. Consulter l'expert-comptable marocain pour conformité.</t>
  </si>
  <si>
    <t xml:space="preserve">► AVERTISSEMENT  →  Ce modèle est à usage d'aide à la décision. Les projections financières sont des estimations basées sur les hypothèses saisies. Ces estimations n'ont pour but que d'ouvrir la reflexion. La décision finale ser aprise en consultant aussi l'expert-comptable marocain car c'est lui qui va proposer aussi son expertise terrain </t>
  </si>
  <si>
    <t xml:space="preserve">► Matrice Décision  →  Vision comparative des 3 options : bancaire, fonds propres, hybride. Indicateurs </t>
  </si>
  <si>
    <t>► Arbitrage →  Modulez librement le % d'apport, la durée et le taux pour voir l'impact immédiat. Table de sensibilité incluse.</t>
  </si>
  <si>
    <t>Moyenne</t>
  </si>
  <si>
    <t>Fond jaune - Texte bleu</t>
  </si>
  <si>
    <t>Fond blanc - Texte noir</t>
  </si>
  <si>
    <t>Fond bleu clair - Texte noir</t>
  </si>
  <si>
    <t>MATRICE D'AIDE À LA DÉCISION FINANCEMENT RIAD MARRAKECH</t>
  </si>
  <si>
    <t>Les valeurs s'actualisent automatiquement selon les paramètres</t>
  </si>
  <si>
    <t>FINANCEMENT BANCAIRE</t>
  </si>
  <si>
    <t>FONDS PROPRES</t>
  </si>
  <si>
    <t xml:space="preserve"> Maximale</t>
  </si>
  <si>
    <t>Aucun</t>
  </si>
  <si>
    <t>Risque réel</t>
  </si>
  <si>
    <t>Capital conservé</t>
  </si>
  <si>
    <t>Capital immobilisé</t>
  </si>
  <si>
    <t>Interessant</t>
  </si>
  <si>
    <t>Mensualités rigides</t>
  </si>
  <si>
    <t>Capital libre</t>
  </si>
  <si>
    <t>Déductibles</t>
  </si>
  <si>
    <t>Risque concentré</t>
  </si>
  <si>
    <t>Non applicable</t>
  </si>
  <si>
    <t xml:space="preserve">Le client apport 50% du montant pour renforcer son dossier de prêt </t>
  </si>
  <si>
    <t xml:space="preserve">PLAN DE FINANCEMENT SUR 20 ANS - OPTION BANCAIRE </t>
  </si>
  <si>
    <t xml:space="preserve">📊 MATRICE COMPARATIVE FINANCEMENT BANCAIRE vs PERSONNEL </t>
  </si>
  <si>
    <t>Commentaires</t>
  </si>
  <si>
    <t>Le financement bancaire offre un ROE plus élevé (22,63 % contre 15,61 %) grâce à l’effet de levier et permet de conserver du capital disponible. Les fonds propres génèrent toutefois un cash-flow annuel supérieur (+266 512 MAD).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</si>
</sst>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MAD&quot;"/>
    <numFmt numFmtId="165" formatCode="#,##0&quot; €&quot;"/>
    <numFmt numFmtId="166" formatCode="0&quot; ans&quot;"/>
    <numFmt numFmtId="167" formatCode="0.0&quot; ans&quot;"/>
    <numFmt numFmtId="168" formatCode="0.0%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i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595959"/>
        <bgColor rgb="FF375623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right" vertical="center"/>
    </xf>
    <xf numFmtId="9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9" fontId="4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 applyAlignment="1">
      <alignment horizontal="right" vertical="center"/>
    </xf>
    <xf numFmtId="10" fontId="4" fillId="6" borderId="1" xfId="0" applyNumberFormat="1" applyFont="1" applyFill="1" applyBorder="1" applyAlignment="1">
      <alignment horizontal="right" vertical="center"/>
    </xf>
    <xf numFmtId="164" fontId="6" fillId="11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0" fontId="6" fillId="11" borderId="1" xfId="0" applyNumberFormat="1" applyFont="1" applyFill="1" applyBorder="1" applyAlignment="1">
      <alignment horizontal="right" vertical="center"/>
    </xf>
    <xf numFmtId="167" fontId="6" fillId="11" borderId="1" xfId="0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164" fontId="4" fillId="11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164" fontId="12" fillId="7" borderId="1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9" fillId="12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left" vertical="center" indent="1"/>
    </xf>
    <xf numFmtId="0" fontId="0" fillId="0" borderId="0" xfId="0" applyBorder="1"/>
    <xf numFmtId="0" fontId="1" fillId="12" borderId="1" xfId="0" applyFont="1" applyFill="1" applyBorder="1" applyAlignment="1">
      <alignment horizontal="left" vertical="top" wrapText="1" indent="1"/>
    </xf>
    <xf numFmtId="168" fontId="5" fillId="5" borderId="1" xfId="0" applyNumberFormat="1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2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B1:B25"/>
  <sheetViews>
    <sheetView showGridLines="0" topLeftCell="A2" zoomScaleNormal="100" workbookViewId="0">
      <selection activeCell="B9" sqref="B9"/>
    </sheetView>
  </sheetViews>
  <sheetFormatPr baseColWidth="10" defaultColWidth="8.6640625" defaultRowHeight="15" x14ac:dyDescent="0.2"/>
  <cols>
    <col min="1" max="1" width="4" customWidth="1"/>
    <col min="2" max="2" width="80" customWidth="1"/>
    <col min="3" max="3" width="4" customWidth="1"/>
  </cols>
  <sheetData>
    <row r="1" spans="2:2" ht="34.5" customHeight="1" x14ac:dyDescent="0.2">
      <c r="B1" s="29" t="s">
        <v>85</v>
      </c>
    </row>
    <row r="2" spans="2:2" ht="21.75" customHeight="1" x14ac:dyDescent="0.2"/>
    <row r="3" spans="2:2" ht="30" customHeight="1" x14ac:dyDescent="0.2">
      <c r="B3" s="33" t="s">
        <v>73</v>
      </c>
    </row>
    <row r="4" spans="2:2" ht="21.75" customHeight="1" x14ac:dyDescent="0.2"/>
    <row r="5" spans="2:2" ht="24.75" customHeight="1" x14ac:dyDescent="0.2">
      <c r="B5" s="31" t="s">
        <v>74</v>
      </c>
    </row>
    <row r="6" spans="2:2" ht="30" customHeight="1" x14ac:dyDescent="0.2">
      <c r="B6" s="33" t="s">
        <v>83</v>
      </c>
    </row>
    <row r="7" spans="2:2" ht="30" customHeight="1" x14ac:dyDescent="0.2">
      <c r="B7" s="33" t="s">
        <v>92</v>
      </c>
    </row>
    <row r="8" spans="2:2" ht="30" customHeight="1" x14ac:dyDescent="0.2">
      <c r="B8" s="33" t="s">
        <v>84</v>
      </c>
    </row>
    <row r="9" spans="2:2" ht="30" customHeight="1" x14ac:dyDescent="0.2">
      <c r="B9" s="33" t="s">
        <v>93</v>
      </c>
    </row>
    <row r="10" spans="2:2" ht="21.75" customHeight="1" x14ac:dyDescent="0.2"/>
    <row r="11" spans="2:2" ht="24.75" customHeight="1" x14ac:dyDescent="0.2">
      <c r="B11" s="31" t="s">
        <v>75</v>
      </c>
    </row>
    <row r="12" spans="2:2" ht="19.5" customHeight="1" x14ac:dyDescent="0.2">
      <c r="B12" s="33" t="s">
        <v>87</v>
      </c>
    </row>
    <row r="13" spans="2:2" ht="19.5" customHeight="1" x14ac:dyDescent="0.2">
      <c r="B13" s="30" t="s">
        <v>76</v>
      </c>
    </row>
    <row r="14" spans="2:2" ht="19.5" customHeight="1" x14ac:dyDescent="0.2">
      <c r="B14" s="30" t="s">
        <v>77</v>
      </c>
    </row>
    <row r="15" spans="2:2" ht="19.5" customHeight="1" x14ac:dyDescent="0.2">
      <c r="B15" s="33" t="s">
        <v>88</v>
      </c>
    </row>
    <row r="16" spans="2:2" ht="19.5" customHeight="1" x14ac:dyDescent="0.2">
      <c r="B16" s="33" t="s">
        <v>89</v>
      </c>
    </row>
    <row r="17" spans="2:2" ht="19.5" customHeight="1" x14ac:dyDescent="0.2">
      <c r="B17" s="30" t="s">
        <v>78</v>
      </c>
    </row>
    <row r="18" spans="2:2" ht="19.5" customHeight="1" x14ac:dyDescent="0.2">
      <c r="B18" s="30" t="s">
        <v>79</v>
      </c>
    </row>
    <row r="19" spans="2:2" ht="21.75" customHeight="1" x14ac:dyDescent="0.2"/>
    <row r="20" spans="2:2" ht="24.75" customHeight="1" x14ac:dyDescent="0.2">
      <c r="B20" s="31" t="s">
        <v>80</v>
      </c>
    </row>
    <row r="21" spans="2:2" ht="47" customHeight="1" x14ac:dyDescent="0.2">
      <c r="B21" s="33" t="s">
        <v>90</v>
      </c>
    </row>
    <row r="22" spans="2:2" ht="42" customHeight="1" x14ac:dyDescent="0.2">
      <c r="B22" s="30" t="s">
        <v>81</v>
      </c>
    </row>
    <row r="23" spans="2:2" ht="40" customHeight="1" x14ac:dyDescent="0.2">
      <c r="B23" s="30" t="s">
        <v>82</v>
      </c>
    </row>
    <row r="24" spans="2:2" ht="21.75" customHeight="1" x14ac:dyDescent="0.2"/>
    <row r="25" spans="2:2" ht="64" customHeight="1" x14ac:dyDescent="0.2">
      <c r="B25" s="33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77"/>
  <sheetViews>
    <sheetView showGridLines="0" zoomScaleNormal="100" workbookViewId="0">
      <pane xSplit="2" ySplit="3" topLeftCell="C8" activePane="bottomRight" state="frozen"/>
      <selection pane="topRight" activeCell="C1" sqref="C1"/>
      <selection pane="bottomLeft" activeCell="A4" sqref="A4"/>
      <selection pane="bottomRight" activeCell="E20" sqref="E20"/>
    </sheetView>
  </sheetViews>
  <sheetFormatPr baseColWidth="10" defaultColWidth="8.6640625" defaultRowHeight="15" x14ac:dyDescent="0.2"/>
  <cols>
    <col min="1" max="1" width="5" customWidth="1"/>
    <col min="2" max="2" width="42.5" customWidth="1"/>
    <col min="3" max="3" width="38.6640625" customWidth="1"/>
    <col min="4" max="4" width="20" hidden="1" customWidth="1"/>
    <col min="5" max="5" width="22.5" customWidth="1"/>
  </cols>
  <sheetData>
    <row r="1" spans="2:5" ht="34.5" customHeight="1" x14ac:dyDescent="0.2">
      <c r="B1" s="41" t="s">
        <v>98</v>
      </c>
      <c r="C1" s="41"/>
      <c r="D1" s="41"/>
    </row>
    <row r="2" spans="2:5" ht="19.5" customHeight="1" x14ac:dyDescent="0.2">
      <c r="B2" s="42"/>
      <c r="C2" s="42"/>
      <c r="D2" s="42"/>
    </row>
    <row r="3" spans="2:5" s="32" customFormat="1" ht="19.5" customHeight="1" x14ac:dyDescent="0.2"/>
    <row r="4" spans="2:5" ht="19.5" customHeight="1" x14ac:dyDescent="0.2">
      <c r="B4" s="39" t="s">
        <v>0</v>
      </c>
      <c r="C4" s="39"/>
      <c r="D4" s="39"/>
    </row>
    <row r="5" spans="2:5" ht="19.5" customHeight="1" x14ac:dyDescent="0.2">
      <c r="B5" s="1" t="s">
        <v>1</v>
      </c>
      <c r="C5" s="2">
        <v>5500000</v>
      </c>
    </row>
    <row r="6" spans="2:5" ht="19.5" customHeight="1" x14ac:dyDescent="0.2">
      <c r="B6" s="1" t="s">
        <v>86</v>
      </c>
      <c r="C6" s="3">
        <f>Paramètres!C5*0.1</f>
        <v>550000</v>
      </c>
    </row>
    <row r="7" spans="2:5" ht="19.5" customHeight="1" x14ac:dyDescent="0.2">
      <c r="B7" s="1" t="s">
        <v>2</v>
      </c>
      <c r="C7" s="2">
        <v>150000</v>
      </c>
    </row>
    <row r="8" spans="2:5" ht="19.5" customHeight="1" x14ac:dyDescent="0.2">
      <c r="B8" s="4" t="s">
        <v>3</v>
      </c>
      <c r="C8" s="5">
        <f>C5+C6+C7</f>
        <v>6200000</v>
      </c>
    </row>
    <row r="9" spans="2:5" ht="19.5" customHeight="1" x14ac:dyDescent="0.2">
      <c r="B9" s="1" t="s">
        <v>4</v>
      </c>
      <c r="C9" s="6">
        <v>10.8</v>
      </c>
      <c r="E9" t="s">
        <v>94</v>
      </c>
    </row>
    <row r="10" spans="2:5" ht="19.5" customHeight="1" x14ac:dyDescent="0.2">
      <c r="B10" s="4" t="s">
        <v>5</v>
      </c>
      <c r="C10" s="7">
        <f>C8/C9</f>
        <v>574074.07407407404</v>
      </c>
    </row>
    <row r="11" spans="2:5" ht="19.5" customHeight="1" x14ac:dyDescent="0.2"/>
    <row r="12" spans="2:5" ht="19.5" customHeight="1" x14ac:dyDescent="0.2">
      <c r="B12" s="39" t="s">
        <v>6</v>
      </c>
      <c r="C12" s="39"/>
      <c r="D12" s="39"/>
    </row>
    <row r="13" spans="2:5" ht="19.5" customHeight="1" x14ac:dyDescent="0.2">
      <c r="B13" s="1" t="s">
        <v>7</v>
      </c>
      <c r="C13" s="8">
        <v>0.3</v>
      </c>
    </row>
    <row r="14" spans="2:5" ht="19.5" customHeight="1" x14ac:dyDescent="0.2">
      <c r="B14" s="1" t="s">
        <v>8</v>
      </c>
      <c r="C14" s="8">
        <v>0.5</v>
      </c>
      <c r="E14" t="s">
        <v>113</v>
      </c>
    </row>
    <row r="15" spans="2:5" ht="19.5" customHeight="1" x14ac:dyDescent="0.2">
      <c r="B15" s="4" t="s">
        <v>9</v>
      </c>
      <c r="C15" s="5">
        <f>C14*Paramètres!C8</f>
        <v>3100000</v>
      </c>
    </row>
    <row r="16" spans="2:5" ht="19.5" customHeight="1" x14ac:dyDescent="0.2">
      <c r="B16" s="4" t="s">
        <v>10</v>
      </c>
      <c r="C16" s="11">
        <f>Paramètres!C8-C15</f>
        <v>3100000</v>
      </c>
    </row>
    <row r="17" spans="2:4" ht="19.5" customHeight="1" x14ac:dyDescent="0.2">
      <c r="B17" s="1" t="s">
        <v>11</v>
      </c>
      <c r="C17" s="9">
        <v>0.06</v>
      </c>
    </row>
    <row r="18" spans="2:4" ht="19.5" customHeight="1" x14ac:dyDescent="0.2">
      <c r="B18" s="1" t="s">
        <v>12</v>
      </c>
      <c r="C18" s="10">
        <v>20</v>
      </c>
    </row>
    <row r="19" spans="2:4" ht="19.5" customHeight="1" x14ac:dyDescent="0.2">
      <c r="B19" s="4" t="s">
        <v>13</v>
      </c>
      <c r="C19" s="5">
        <f>C16*(C17/12)/((1-(1+C17/12)^(-C18*12)))</f>
        <v>22209.362812823463</v>
      </c>
    </row>
    <row r="20" spans="2:4" ht="19.5" customHeight="1" x14ac:dyDescent="0.2">
      <c r="B20" s="4" t="s">
        <v>14</v>
      </c>
      <c r="C20" s="5">
        <f>C19*C18*12</f>
        <v>5330247.0750776315</v>
      </c>
    </row>
    <row r="21" spans="2:4" ht="19.5" customHeight="1" x14ac:dyDescent="0.2">
      <c r="B21" s="4" t="s">
        <v>15</v>
      </c>
      <c r="C21" s="5">
        <f>C20-C16</f>
        <v>2230247.0750776315</v>
      </c>
    </row>
    <row r="22" spans="2:4" ht="19.5" customHeight="1" x14ac:dyDescent="0.2"/>
    <row r="23" spans="2:4" ht="19.5" customHeight="1" x14ac:dyDescent="0.2">
      <c r="B23" s="39" t="s">
        <v>16</v>
      </c>
      <c r="C23" s="39"/>
      <c r="D23" s="39"/>
    </row>
    <row r="24" spans="2:4" ht="19.5" customHeight="1" x14ac:dyDescent="0.2">
      <c r="B24" s="1" t="s">
        <v>17</v>
      </c>
      <c r="C24" s="2">
        <v>600000</v>
      </c>
    </row>
    <row r="25" spans="2:4" ht="19.5" customHeight="1" x14ac:dyDescent="0.2">
      <c r="B25" s="1" t="s">
        <v>18</v>
      </c>
      <c r="C25" s="9">
        <v>4.4999999999999998E-2</v>
      </c>
    </row>
    <row r="26" spans="2:4" ht="19.5" customHeight="1" x14ac:dyDescent="0.2">
      <c r="B26" s="4" t="s">
        <v>19</v>
      </c>
      <c r="C26" s="11">
        <f>Paramètres!C8</f>
        <v>6200000</v>
      </c>
    </row>
    <row r="27" spans="2:4" ht="19.5" customHeight="1" x14ac:dyDescent="0.2">
      <c r="B27" s="4" t="s">
        <v>20</v>
      </c>
      <c r="C27" s="11">
        <f>C24*C25</f>
        <v>27000</v>
      </c>
    </row>
    <row r="28" spans="2:4" ht="19.5" customHeight="1" x14ac:dyDescent="0.2">
      <c r="B28" s="4" t="s">
        <v>21</v>
      </c>
      <c r="C28" s="11">
        <f>C27*20</f>
        <v>540000</v>
      </c>
    </row>
    <row r="29" spans="2:4" ht="19.5" customHeight="1" x14ac:dyDescent="0.2"/>
    <row r="30" spans="2:4" ht="19.5" customHeight="1" x14ac:dyDescent="0.2">
      <c r="B30" s="39" t="s">
        <v>22</v>
      </c>
      <c r="C30" s="39"/>
      <c r="D30" s="39"/>
    </row>
    <row r="31" spans="2:4" ht="19.5" customHeight="1" x14ac:dyDescent="0.2">
      <c r="B31" s="1" t="s">
        <v>23</v>
      </c>
      <c r="C31" s="2">
        <v>1200</v>
      </c>
    </row>
    <row r="32" spans="2:4" ht="19.5" customHeight="1" x14ac:dyDescent="0.2">
      <c r="B32" s="1" t="s">
        <v>24</v>
      </c>
      <c r="C32" s="12">
        <v>8</v>
      </c>
    </row>
    <row r="33" spans="2:4" ht="19.5" customHeight="1" x14ac:dyDescent="0.2">
      <c r="B33" s="1" t="s">
        <v>25</v>
      </c>
      <c r="C33" s="8">
        <v>0.65</v>
      </c>
    </row>
    <row r="34" spans="2:4" ht="19.5" customHeight="1" x14ac:dyDescent="0.2">
      <c r="B34" s="4" t="s">
        <v>26</v>
      </c>
      <c r="C34" s="5">
        <f>C31*C32*C33*365</f>
        <v>2277600</v>
      </c>
    </row>
    <row r="35" spans="2:4" ht="19.5" customHeight="1" x14ac:dyDescent="0.2">
      <c r="B35" s="1" t="s">
        <v>27</v>
      </c>
      <c r="C35" s="8">
        <v>0.5</v>
      </c>
    </row>
    <row r="36" spans="2:4" ht="19.5" customHeight="1" x14ac:dyDescent="0.2">
      <c r="B36" s="4" t="s">
        <v>28</v>
      </c>
      <c r="C36" s="5">
        <f>C34*(1-C35)</f>
        <v>1138800</v>
      </c>
    </row>
    <row r="37" spans="2:4" ht="19.5" customHeight="1" x14ac:dyDescent="0.2">
      <c r="B37" s="1" t="s">
        <v>29</v>
      </c>
      <c r="C37" s="34">
        <v>1.4999999999999999E-2</v>
      </c>
    </row>
    <row r="38" spans="2:4" ht="19.5" customHeight="1" x14ac:dyDescent="0.2">
      <c r="B38" s="1" t="s">
        <v>30</v>
      </c>
      <c r="C38" s="8">
        <v>0.15</v>
      </c>
    </row>
    <row r="39" spans="2:4" ht="19.5" customHeight="1" x14ac:dyDescent="0.2">
      <c r="B39" s="4" t="s">
        <v>31</v>
      </c>
      <c r="C39" s="5">
        <f>C36*(1-C38)</f>
        <v>967980</v>
      </c>
    </row>
    <row r="40" spans="2:4" ht="19.5" customHeight="1" x14ac:dyDescent="0.2">
      <c r="B40" s="4" t="s">
        <v>32</v>
      </c>
      <c r="C40" s="5">
        <f>Paramètres!C5*(1.02^20)</f>
        <v>8172710.6778809484</v>
      </c>
    </row>
    <row r="41" spans="2:4" ht="19.5" customHeight="1" x14ac:dyDescent="0.2"/>
    <row r="42" spans="2:4" ht="19.5" customHeight="1" x14ac:dyDescent="0.2"/>
    <row r="43" spans="2:4" ht="19.5" customHeight="1" x14ac:dyDescent="0.2">
      <c r="B43" s="40" t="s">
        <v>33</v>
      </c>
      <c r="C43" s="40"/>
      <c r="D43" s="40"/>
    </row>
    <row r="44" spans="2:4" ht="19.5" customHeight="1" x14ac:dyDescent="0.2">
      <c r="B44" s="4" t="s">
        <v>95</v>
      </c>
      <c r="C44" s="1" t="s">
        <v>34</v>
      </c>
    </row>
    <row r="45" spans="2:4" ht="19.5" customHeight="1" x14ac:dyDescent="0.2">
      <c r="B45" s="4" t="s">
        <v>96</v>
      </c>
      <c r="C45" s="1" t="s">
        <v>35</v>
      </c>
    </row>
    <row r="46" spans="2:4" ht="19.5" customHeight="1" x14ac:dyDescent="0.2">
      <c r="B46" s="4" t="s">
        <v>97</v>
      </c>
      <c r="C46" s="1" t="s">
        <v>36</v>
      </c>
    </row>
    <row r="47" spans="2:4" ht="19.5" customHeight="1" x14ac:dyDescent="0.2"/>
    <row r="48" spans="2:4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</sheetData>
  <mergeCells count="7">
    <mergeCell ref="B30:D30"/>
    <mergeCell ref="B43:D43"/>
    <mergeCell ref="B1:D1"/>
    <mergeCell ref="B2:D2"/>
    <mergeCell ref="B4:D4"/>
    <mergeCell ref="B12:D12"/>
    <mergeCell ref="B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E7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2" sqref="D22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3" width="22.83203125" customWidth="1"/>
    <col min="4" max="4" width="22" customWidth="1"/>
    <col min="5" max="5" width="18.1640625" customWidth="1"/>
  </cols>
  <sheetData>
    <row r="1" spans="2:5" ht="34.5" customHeight="1" x14ac:dyDescent="0.2">
      <c r="B1" s="45" t="s">
        <v>115</v>
      </c>
      <c r="C1" s="45"/>
      <c r="D1" s="45"/>
    </row>
    <row r="2" spans="2:5" ht="19.5" customHeight="1" x14ac:dyDescent="0.2">
      <c r="B2" s="46" t="s">
        <v>99</v>
      </c>
      <c r="C2" s="46"/>
      <c r="D2" s="46"/>
    </row>
    <row r="3" spans="2:5" ht="19.5" customHeight="1" x14ac:dyDescent="0.2"/>
    <row r="4" spans="2:5" ht="19.5" customHeight="1" x14ac:dyDescent="0.2">
      <c r="B4" s="13" t="s">
        <v>37</v>
      </c>
      <c r="C4" s="14" t="s">
        <v>100</v>
      </c>
      <c r="D4" s="15" t="s">
        <v>101</v>
      </c>
    </row>
    <row r="5" spans="2:5" ht="19.5" customHeight="1" x14ac:dyDescent="0.2">
      <c r="B5" s="40" t="s">
        <v>38</v>
      </c>
      <c r="C5" s="40"/>
      <c r="D5" s="40"/>
    </row>
    <row r="6" spans="2:5" ht="19.5" customHeight="1" x14ac:dyDescent="0.2">
      <c r="B6" s="1" t="s">
        <v>39</v>
      </c>
      <c r="C6" s="3">
        <f>Paramètres!C8</f>
        <v>6200000</v>
      </c>
      <c r="D6" s="3">
        <f>Paramètres!C8</f>
        <v>6200000</v>
      </c>
    </row>
    <row r="7" spans="2:5" ht="19.5" customHeight="1" x14ac:dyDescent="0.2">
      <c r="B7" s="1" t="s">
        <v>40</v>
      </c>
      <c r="C7" s="3">
        <f>Paramètres!C15</f>
        <v>3100000</v>
      </c>
      <c r="D7" s="3">
        <f>Paramètres!C8</f>
        <v>6200000</v>
      </c>
    </row>
    <row r="8" spans="2:5" ht="19.5" customHeight="1" x14ac:dyDescent="0.2">
      <c r="B8" s="1" t="s">
        <v>41</v>
      </c>
      <c r="C8" s="16">
        <f>Paramètres!C14</f>
        <v>0.5</v>
      </c>
      <c r="D8" s="17" t="s">
        <v>42</v>
      </c>
      <c r="E8" s="38"/>
    </row>
    <row r="9" spans="2:5" ht="19.5" customHeight="1" x14ac:dyDescent="0.2">
      <c r="B9" s="1" t="s">
        <v>43</v>
      </c>
      <c r="C9" s="3">
        <f>Paramètres!C16</f>
        <v>3100000</v>
      </c>
      <c r="D9" s="17" t="s">
        <v>44</v>
      </c>
    </row>
    <row r="10" spans="2:5" ht="19.5" customHeight="1" x14ac:dyDescent="0.2">
      <c r="B10" s="1" t="s">
        <v>13</v>
      </c>
      <c r="C10" s="3">
        <f>Paramètres!C19</f>
        <v>22209.362812823463</v>
      </c>
      <c r="D10" s="17" t="s">
        <v>45</v>
      </c>
    </row>
    <row r="11" spans="2:5" ht="19.5" customHeight="1" x14ac:dyDescent="0.2"/>
    <row r="12" spans="2:5" ht="19.5" customHeight="1" x14ac:dyDescent="0.2">
      <c r="B12" s="40" t="s">
        <v>46</v>
      </c>
      <c r="C12" s="40"/>
      <c r="D12" s="40"/>
    </row>
    <row r="13" spans="2:5" ht="19.5" customHeight="1" x14ac:dyDescent="0.2">
      <c r="B13" s="1" t="s">
        <v>15</v>
      </c>
      <c r="C13" s="3">
        <f>Paramètres!C21</f>
        <v>2230247.0750776315</v>
      </c>
      <c r="D13" s="3" t="s">
        <v>44</v>
      </c>
    </row>
    <row r="14" spans="2:5" ht="19.5" customHeight="1" x14ac:dyDescent="0.2">
      <c r="B14" s="1" t="s">
        <v>47</v>
      </c>
      <c r="C14" s="3">
        <f>Paramètres!C15*Paramètres!C25*20</f>
        <v>2790000</v>
      </c>
      <c r="D14" s="3">
        <f>Paramètres!C28</f>
        <v>540000</v>
      </c>
    </row>
    <row r="15" spans="2:5" ht="19.5" customHeight="1" x14ac:dyDescent="0.2">
      <c r="B15" s="4" t="s">
        <v>48</v>
      </c>
      <c r="C15" s="18">
        <f>Paramètres!C21+Paramètres!C15*Paramètres!C25*20</f>
        <v>5020247.0750776315</v>
      </c>
      <c r="D15" s="18">
        <f>Paramètres!C28</f>
        <v>540000</v>
      </c>
    </row>
    <row r="16" spans="2:5" ht="19.5" customHeight="1" x14ac:dyDescent="0.2">
      <c r="B16" s="1" t="s">
        <v>49</v>
      </c>
      <c r="C16" s="19">
        <f>Paramètres!C17</f>
        <v>0.06</v>
      </c>
      <c r="D16" s="19">
        <f>Paramètres!C25</f>
        <v>4.4999999999999998E-2</v>
      </c>
    </row>
    <row r="17" spans="2:4" ht="19.5" customHeight="1" x14ac:dyDescent="0.2"/>
    <row r="18" spans="2:4" ht="19.5" customHeight="1" x14ac:dyDescent="0.2">
      <c r="B18" s="40" t="s">
        <v>50</v>
      </c>
      <c r="C18" s="40"/>
      <c r="D18" s="40"/>
    </row>
    <row r="19" spans="2:4" ht="19.5" customHeight="1" x14ac:dyDescent="0.2">
      <c r="B19" s="1" t="s">
        <v>51</v>
      </c>
      <c r="C19" s="3">
        <f>Paramètres!C39</f>
        <v>967980</v>
      </c>
      <c r="D19" s="3">
        <f>Paramètres!C39</f>
        <v>967980</v>
      </c>
    </row>
    <row r="20" spans="2:4" ht="19.5" customHeight="1" x14ac:dyDescent="0.2">
      <c r="B20" s="1" t="s">
        <v>52</v>
      </c>
      <c r="C20" s="3">
        <f>Paramètres!C19*12</f>
        <v>266512.35375388153</v>
      </c>
      <c r="D20" s="3" t="s">
        <v>44</v>
      </c>
    </row>
    <row r="21" spans="2:4" ht="19.5" customHeight="1" x14ac:dyDescent="0.2">
      <c r="B21" s="4" t="s">
        <v>53</v>
      </c>
      <c r="C21" s="20">
        <f>Paramètres!C39-Paramètres!C19*12</f>
        <v>701467.64624611847</v>
      </c>
      <c r="D21" s="20">
        <f>Paramètres!C39</f>
        <v>967980</v>
      </c>
    </row>
    <row r="22" spans="2:4" ht="19.5" customHeight="1" x14ac:dyDescent="0.2">
      <c r="B22" s="1" t="s">
        <v>54</v>
      </c>
      <c r="C22" s="21">
        <f>(Paramètres!C39-Paramètres!C19*12)/Paramètres!C9</f>
        <v>64950.707985751709</v>
      </c>
      <c r="D22" s="21">
        <f>Paramètres!C39/Paramètres!C9</f>
        <v>89627.777777777766</v>
      </c>
    </row>
    <row r="23" spans="2:4" ht="19.5" customHeight="1" x14ac:dyDescent="0.2">
      <c r="B23" s="1" t="s">
        <v>55</v>
      </c>
      <c r="C23" s="19">
        <f>Paramètres!C36/Paramètres!C8</f>
        <v>0.18367741935483872</v>
      </c>
      <c r="D23" s="19">
        <f>Paramètres!C36/Paramètres!C8</f>
        <v>0.18367741935483872</v>
      </c>
    </row>
    <row r="24" spans="2:4" ht="19.5" customHeight="1" x14ac:dyDescent="0.2">
      <c r="B24" s="4" t="s">
        <v>56</v>
      </c>
      <c r="C24" s="22">
        <f>(Paramètres!C39-Paramètres!C19*12)/Paramètres!C15</f>
        <v>0.22627988588584466</v>
      </c>
      <c r="D24" s="22">
        <f>Paramètres!C39/Paramètres!C8</f>
        <v>0.15612580645161289</v>
      </c>
    </row>
    <row r="25" spans="2:4" ht="19.5" customHeight="1" x14ac:dyDescent="0.2">
      <c r="B25" s="4" t="s">
        <v>57</v>
      </c>
      <c r="C25" s="23">
        <f>Paramètres!C15/MAX(1,Paramètres!C39-Paramètres!C19*12)</f>
        <v>4.4193057464439738</v>
      </c>
      <c r="D25" s="23">
        <f>Paramètres!C8/MAX(1,Paramètres!C39)</f>
        <v>6.4050910142771542</v>
      </c>
    </row>
    <row r="26" spans="2:4" ht="19.5" customHeight="1" x14ac:dyDescent="0.2"/>
    <row r="27" spans="2:4" ht="19.5" customHeight="1" x14ac:dyDescent="0.2">
      <c r="B27" s="40" t="s">
        <v>58</v>
      </c>
      <c r="C27" s="40"/>
      <c r="D27" s="40"/>
    </row>
    <row r="28" spans="2:4" ht="19.5" customHeight="1" x14ac:dyDescent="0.2">
      <c r="B28" s="1" t="s">
        <v>59</v>
      </c>
      <c r="C28" s="35" t="s">
        <v>105</v>
      </c>
      <c r="D28" s="37" t="s">
        <v>106</v>
      </c>
    </row>
    <row r="29" spans="2:4" ht="19.5" customHeight="1" x14ac:dyDescent="0.2">
      <c r="B29" s="1" t="s">
        <v>60</v>
      </c>
      <c r="C29" s="35" t="s">
        <v>107</v>
      </c>
      <c r="D29" s="37" t="s">
        <v>103</v>
      </c>
    </row>
    <row r="30" spans="2:4" ht="19.5" customHeight="1" x14ac:dyDescent="0.2">
      <c r="B30" s="1" t="s">
        <v>61</v>
      </c>
      <c r="C30" s="36" t="s">
        <v>104</v>
      </c>
      <c r="D30" s="35" t="s">
        <v>103</v>
      </c>
    </row>
    <row r="31" spans="2:4" ht="19.5" customHeight="1" x14ac:dyDescent="0.2">
      <c r="B31" s="1" t="s">
        <v>62</v>
      </c>
      <c r="C31" s="36" t="s">
        <v>108</v>
      </c>
      <c r="D31" s="35" t="s">
        <v>102</v>
      </c>
    </row>
    <row r="32" spans="2:4" ht="19.5" customHeight="1" x14ac:dyDescent="0.2">
      <c r="B32" s="1" t="s">
        <v>63</v>
      </c>
      <c r="C32" s="35" t="s">
        <v>109</v>
      </c>
      <c r="D32" s="37" t="s">
        <v>111</v>
      </c>
    </row>
    <row r="33" spans="2:4" ht="19.5" customHeight="1" x14ac:dyDescent="0.2">
      <c r="B33" s="1" t="s">
        <v>64</v>
      </c>
      <c r="C33" s="35" t="s">
        <v>110</v>
      </c>
      <c r="D33" s="37" t="s">
        <v>112</v>
      </c>
    </row>
    <row r="34" spans="2:4" ht="19.5" customHeight="1" x14ac:dyDescent="0.2">
      <c r="C34" s="47"/>
    </row>
    <row r="35" spans="2:4" ht="19.5" customHeight="1" x14ac:dyDescent="0.2"/>
    <row r="36" spans="2:4" ht="24.75" customHeight="1" x14ac:dyDescent="0.2">
      <c r="B36" s="43" t="s">
        <v>116</v>
      </c>
      <c r="C36" s="43"/>
      <c r="D36" s="43"/>
    </row>
    <row r="37" spans="2:4" ht="18" customHeight="1" x14ac:dyDescent="0.2">
      <c r="B37" s="44" t="s">
        <v>117</v>
      </c>
      <c r="C37" s="44"/>
      <c r="D37" s="44"/>
    </row>
    <row r="38" spans="2:4" ht="18" customHeight="1" x14ac:dyDescent="0.2">
      <c r="B38" s="44"/>
      <c r="C38" s="44"/>
      <c r="D38" s="44"/>
    </row>
    <row r="39" spans="2:4" ht="47" customHeight="1" x14ac:dyDescent="0.2">
      <c r="B39" s="44"/>
      <c r="C39" s="44"/>
      <c r="D39" s="44"/>
    </row>
    <row r="40" spans="2:4" ht="19.5" customHeight="1" x14ac:dyDescent="0.2"/>
    <row r="41" spans="2:4" ht="19.5" customHeight="1" x14ac:dyDescent="0.2"/>
    <row r="42" spans="2:4" ht="19.5" customHeight="1" x14ac:dyDescent="0.2"/>
    <row r="43" spans="2:4" ht="19.5" customHeight="1" x14ac:dyDescent="0.2"/>
    <row r="44" spans="2:4" ht="19.5" customHeight="1" x14ac:dyDescent="0.2"/>
    <row r="45" spans="2:4" ht="19.5" customHeight="1" x14ac:dyDescent="0.2"/>
    <row r="46" spans="2:4" ht="19.5" customHeight="1" x14ac:dyDescent="0.2"/>
    <row r="47" spans="2:4" ht="19.5" customHeight="1" x14ac:dyDescent="0.2"/>
    <row r="48" spans="2:4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</sheetData>
  <mergeCells count="8">
    <mergeCell ref="B27:D27"/>
    <mergeCell ref="B36:D36"/>
    <mergeCell ref="B37:D39"/>
    <mergeCell ref="B1:D1"/>
    <mergeCell ref="B2:D2"/>
    <mergeCell ref="B5:D5"/>
    <mergeCell ref="B12:D12"/>
    <mergeCell ref="B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1:H29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2" sqref="H22"/>
    </sheetView>
  </sheetViews>
  <sheetFormatPr baseColWidth="10" defaultColWidth="8.6640625" defaultRowHeight="15" x14ac:dyDescent="0.2"/>
  <cols>
    <col min="1" max="1" width="4" customWidth="1"/>
    <col min="2" max="2" width="8" customWidth="1"/>
    <col min="3" max="8" width="18" customWidth="1"/>
    <col min="9" max="9" width="4" customWidth="1"/>
  </cols>
  <sheetData>
    <row r="1" spans="2:8" ht="34.5" customHeight="1" x14ac:dyDescent="0.2">
      <c r="B1" s="45" t="s">
        <v>114</v>
      </c>
      <c r="C1" s="45"/>
      <c r="D1" s="45"/>
      <c r="E1" s="45"/>
      <c r="F1" s="45"/>
      <c r="G1" s="45"/>
      <c r="H1" s="45"/>
    </row>
    <row r="2" spans="2:8" ht="18" customHeight="1" x14ac:dyDescent="0.2"/>
    <row r="3" spans="2:8" ht="30" customHeight="1" x14ac:dyDescent="0.2">
      <c r="B3" s="24" t="s">
        <v>65</v>
      </c>
      <c r="C3" s="24" t="s">
        <v>66</v>
      </c>
      <c r="D3" s="24" t="s">
        <v>67</v>
      </c>
      <c r="E3" s="24" t="s">
        <v>68</v>
      </c>
      <c r="F3" s="24" t="s">
        <v>69</v>
      </c>
      <c r="G3" s="24" t="s">
        <v>70</v>
      </c>
      <c r="H3" s="24" t="s">
        <v>71</v>
      </c>
    </row>
    <row r="4" spans="2:8" ht="18" customHeight="1" x14ac:dyDescent="0.2">
      <c r="B4" s="25">
        <v>1</v>
      </c>
      <c r="C4" s="3">
        <f>Paramètres!C36</f>
        <v>1138800</v>
      </c>
      <c r="D4" s="3">
        <f>Paramètres!C19*12</f>
        <v>266512.35375388153</v>
      </c>
      <c r="E4" s="26">
        <f>C4-D4</f>
        <v>872287.64624611847</v>
      </c>
      <c r="F4" s="3">
        <f>Paramètres!C16*(1+Paramètres!C17/12)^12-Paramètres!C19*(((1+Paramètres!C17/12)^12-1)/(Paramètres!C17/12))</f>
        <v>3017236.2365400037</v>
      </c>
      <c r="G4" s="5">
        <f>E4</f>
        <v>872287.64624611847</v>
      </c>
      <c r="H4" s="3">
        <f>Paramètres!C5*(1.02^1)</f>
        <v>5610000</v>
      </c>
    </row>
    <row r="5" spans="2:8" ht="18" customHeight="1" x14ac:dyDescent="0.2">
      <c r="B5" s="25">
        <v>2</v>
      </c>
      <c r="C5" s="3">
        <f>C4*(1+Paramètres!C37)</f>
        <v>1155882</v>
      </c>
      <c r="D5" s="3">
        <f>Paramètres!C19*12</f>
        <v>266512.35375388153</v>
      </c>
      <c r="E5" s="26">
        <f t="shared" ref="E5:E23" si="0">C5-D5</f>
        <v>889369.64624611847</v>
      </c>
      <c r="F5" s="3">
        <f>F4*(1+Paramètres!C17/12)^12-Paramètres!C19*(((1+Paramètres!C17/12)^12-1)/(Paramètres!C17/12))</f>
        <v>2929367.785248124</v>
      </c>
      <c r="G5" s="5">
        <f t="shared" ref="G5:G23" si="1">G4+E5</f>
        <v>1761657.2924922369</v>
      </c>
      <c r="H5" s="3">
        <f>Paramètres!C5*(1.02^2)</f>
        <v>5722200</v>
      </c>
    </row>
    <row r="6" spans="2:8" ht="18" customHeight="1" x14ac:dyDescent="0.2">
      <c r="B6" s="25">
        <v>3</v>
      </c>
      <c r="C6" s="3">
        <f>C5*(1+Paramètres!C37)</f>
        <v>1173220.23</v>
      </c>
      <c r="D6" s="3">
        <f>Paramètres!C19*12</f>
        <v>266512.35375388153</v>
      </c>
      <c r="E6" s="26">
        <f t="shared" si="0"/>
        <v>906707.87624611845</v>
      </c>
      <c r="F6" s="3">
        <f>F5*(1+Paramètres!C17/12)^12-Paramètres!C19*(((1+Paramètres!C17/12)^12-1)/(Paramètres!C17/12))</f>
        <v>2836079.8001486389</v>
      </c>
      <c r="G6" s="5">
        <f t="shared" si="1"/>
        <v>2668365.1687383554</v>
      </c>
      <c r="H6" s="3">
        <f>Paramètres!C5*(1.02^3)</f>
        <v>5836644</v>
      </c>
    </row>
    <row r="7" spans="2:8" ht="18" customHeight="1" x14ac:dyDescent="0.2">
      <c r="B7" s="25">
        <v>4</v>
      </c>
      <c r="C7" s="3">
        <f>C6*(1+Paramètres!C37)</f>
        <v>1190818.5334499998</v>
      </c>
      <c r="D7" s="3">
        <f>Paramètres!C19*12</f>
        <v>266512.35375388153</v>
      </c>
      <c r="E7" s="26">
        <f t="shared" si="0"/>
        <v>924306.17969611823</v>
      </c>
      <c r="F7" s="3">
        <f>F6*(1+Paramètres!C17/12)^12-Paramètres!C19*(((1+Paramètres!C17/12)^12-1)/(Paramètres!C17/12))</f>
        <v>2737038.0162549699</v>
      </c>
      <c r="G7" s="5">
        <f t="shared" si="1"/>
        <v>3592671.3484344734</v>
      </c>
      <c r="H7" s="3">
        <f>Paramètres!C5*(1.02^4)</f>
        <v>5953376.8799999999</v>
      </c>
    </row>
    <row r="8" spans="2:8" ht="18" customHeight="1" x14ac:dyDescent="0.2">
      <c r="B8" s="25">
        <v>5</v>
      </c>
      <c r="C8" s="3">
        <f>C7*(1+Paramètres!C37)</f>
        <v>1208680.8114517496</v>
      </c>
      <c r="D8" s="3">
        <f>Paramètres!C19*12</f>
        <v>266512.35375388153</v>
      </c>
      <c r="E8" s="26">
        <f t="shared" si="0"/>
        <v>942168.45769786811</v>
      </c>
      <c r="F8" s="3">
        <f>F7*(1+Paramètres!C17/12)^12-Paramètres!C19*(((1+Paramètres!C17/12)^12-1)/(Paramètres!C17/12))</f>
        <v>2631887.5518475827</v>
      </c>
      <c r="G8" s="5">
        <f t="shared" si="1"/>
        <v>4534839.8061323417</v>
      </c>
      <c r="H8" s="3">
        <f>Paramètres!C5*(1.02^5)</f>
        <v>6072444.4176000003</v>
      </c>
    </row>
    <row r="9" spans="2:8" ht="18" customHeight="1" x14ac:dyDescent="0.2">
      <c r="B9" s="25">
        <v>6</v>
      </c>
      <c r="C9" s="3">
        <f>C8*(1+Paramètres!C37)</f>
        <v>1226811.0236235259</v>
      </c>
      <c r="D9" s="3">
        <f>Paramètres!C19*12</f>
        <v>266512.35375388153</v>
      </c>
      <c r="E9" s="26">
        <f t="shared" si="0"/>
        <v>960298.66986964433</v>
      </c>
      <c r="F9" s="3">
        <f>F8*(1+Paramètres!C17/12)^12-Paramètres!C19*(((1+Paramètres!C17/12)^12-1)/(Paramètres!C17/12))</f>
        <v>2520251.636879012</v>
      </c>
      <c r="G9" s="5">
        <f t="shared" si="1"/>
        <v>5495138.4760019863</v>
      </c>
      <c r="H9" s="3">
        <f>Paramètres!C5*(1.02^6)</f>
        <v>6193893.3059520004</v>
      </c>
    </row>
    <row r="10" spans="2:8" ht="18" customHeight="1" x14ac:dyDescent="0.2">
      <c r="B10" s="25">
        <v>7</v>
      </c>
      <c r="C10" s="3">
        <f>C9*(1+Paramètres!C37)</f>
        <v>1245213.1889778785</v>
      </c>
      <c r="D10" s="3">
        <f>Paramètres!C19*12</f>
        <v>266512.35375388153</v>
      </c>
      <c r="E10" s="26">
        <f t="shared" si="0"/>
        <v>978700.83522399701</v>
      </c>
      <c r="F10" s="3">
        <f>F9*(1+Paramètres!C17/12)^12-Paramètres!C19*(((1+Paramètres!C17/12)^12-1)/(Paramètres!C17/12))</f>
        <v>2401730.2629496888</v>
      </c>
      <c r="G10" s="5">
        <f t="shared" si="1"/>
        <v>6473839.3112259833</v>
      </c>
      <c r="H10" s="3">
        <f>Paramètres!C5*(1.02^7)</f>
        <v>6317771.1720710387</v>
      </c>
    </row>
    <row r="11" spans="2:8" ht="18" customHeight="1" x14ac:dyDescent="0.2">
      <c r="B11" s="25">
        <v>8</v>
      </c>
      <c r="C11" s="3">
        <f>C10*(1+Paramètres!C37)</f>
        <v>1263891.3868125465</v>
      </c>
      <c r="D11" s="3">
        <f>Paramètres!C19*12</f>
        <v>266512.35375388153</v>
      </c>
      <c r="E11" s="26">
        <f t="shared" si="0"/>
        <v>997379.03305866499</v>
      </c>
      <c r="F11" s="3">
        <f>F10*(1+Paramètres!C17/12)^12-Paramètres!C19*(((1+Paramètres!C17/12)^12-1)/(Paramètres!C17/12))</f>
        <v>2275898.7500172313</v>
      </c>
      <c r="G11" s="5">
        <f t="shared" si="1"/>
        <v>7471218.3442846481</v>
      </c>
      <c r="H11" s="3">
        <f>Paramètres!C5*(1.02^8)</f>
        <v>6444126.59551246</v>
      </c>
    </row>
    <row r="12" spans="2:8" ht="18" customHeight="1" x14ac:dyDescent="0.2">
      <c r="B12" s="25">
        <v>9</v>
      </c>
      <c r="C12" s="3">
        <f>C11*(1+Paramètres!C37)</f>
        <v>1282849.7576147346</v>
      </c>
      <c r="D12" s="3">
        <f>Paramètres!C19*12</f>
        <v>266512.35375388153</v>
      </c>
      <c r="E12" s="26">
        <f t="shared" si="0"/>
        <v>1016337.4038608531</v>
      </c>
      <c r="F12" s="3">
        <f>F11*(1+Paramètres!C17/12)^12-Paramètres!C19*(((1+Paramètres!C17/12)^12-1)/(Paramètres!C17/12))</f>
        <v>2142306.2247035005</v>
      </c>
      <c r="G12" s="5">
        <f t="shared" si="1"/>
        <v>8487555.7481455021</v>
      </c>
      <c r="H12" s="3">
        <f>Paramètres!C5*(1.02^9)</f>
        <v>6573009.1274227099</v>
      </c>
    </row>
    <row r="13" spans="2:8" ht="18" customHeight="1" x14ac:dyDescent="0.2">
      <c r="B13" s="25">
        <v>10</v>
      </c>
      <c r="C13" s="3">
        <f>C12*(1+Paramètres!C37)</f>
        <v>1302092.5039789556</v>
      </c>
      <c r="D13" s="3">
        <f>Paramètres!C19*12</f>
        <v>266512.35375388153</v>
      </c>
      <c r="E13" s="26">
        <f t="shared" si="0"/>
        <v>1035580.150225074</v>
      </c>
      <c r="F13" s="3">
        <f>F12*(1+Paramètres!C17/12)^12-Paramètres!C19*(((1+Paramètres!C17/12)^12-1)/(Paramètres!C17/12))</f>
        <v>2000474.0047469661</v>
      </c>
      <c r="G13" s="5">
        <f t="shared" si="1"/>
        <v>9523135.8983705752</v>
      </c>
      <c r="H13" s="3">
        <f>Paramètres!C5*(1.02^10)</f>
        <v>6704469.309971164</v>
      </c>
    </row>
    <row r="14" spans="2:8" ht="18" customHeight="1" x14ac:dyDescent="0.2">
      <c r="B14" s="25">
        <v>11</v>
      </c>
      <c r="C14" s="3">
        <f>C13*(1+Paramètres!C37)</f>
        <v>1321623.8915386398</v>
      </c>
      <c r="D14" s="3">
        <f>Paramètres!C19*12</f>
        <v>266512.35375388153</v>
      </c>
      <c r="E14" s="26">
        <f t="shared" si="0"/>
        <v>1055111.5377847583</v>
      </c>
      <c r="F14" s="3">
        <f>F13*(1+Paramètres!C17/12)^12-Paramètres!C19*(((1+Paramètres!C17/12)^12-1)/(Paramètres!C17/12))</f>
        <v>1849893.8838116284</v>
      </c>
      <c r="G14" s="5">
        <f t="shared" si="1"/>
        <v>10578247.436155334</v>
      </c>
      <c r="H14" s="3">
        <f>Paramètres!C5*(1.02^11)</f>
        <v>6838558.6961705862</v>
      </c>
    </row>
    <row r="15" spans="2:8" ht="18" customHeight="1" x14ac:dyDescent="0.2">
      <c r="B15" s="25">
        <v>12</v>
      </c>
      <c r="C15" s="3">
        <f>C14*(1+Paramètres!C37)</f>
        <v>1341448.2499117192</v>
      </c>
      <c r="D15" s="3">
        <f>Paramètres!C19*12</f>
        <v>266512.35375388153</v>
      </c>
      <c r="E15" s="26">
        <f t="shared" si="0"/>
        <v>1074935.8961578377</v>
      </c>
      <c r="F15" s="3">
        <f>F14*(1+Paramètres!C17/12)^12-Paramètres!C19*(((1+Paramètres!C17/12)^12-1)/(Paramètres!C17/12))</f>
        <v>1690026.310506708</v>
      </c>
      <c r="G15" s="5">
        <f t="shared" si="1"/>
        <v>11653183.332313173</v>
      </c>
      <c r="H15" s="3">
        <f>Paramètres!C5*(1.02^12)</f>
        <v>6975329.8700939985</v>
      </c>
    </row>
    <row r="16" spans="2:8" ht="18" customHeight="1" x14ac:dyDescent="0.2">
      <c r="B16" s="25">
        <v>13</v>
      </c>
      <c r="C16" s="3">
        <f>C15*(1+Paramètres!C37)</f>
        <v>1361569.9736603948</v>
      </c>
      <c r="D16" s="3">
        <f>Paramètres!C19*12</f>
        <v>266512.35375388153</v>
      </c>
      <c r="E16" s="26">
        <f t="shared" si="0"/>
        <v>1095057.6199065133</v>
      </c>
      <c r="F16" s="3">
        <f>F15*(1+Paramètres!C17/12)^12-Paramètres!C19*(((1+Paramètres!C17/12)^12-1)/(Paramètres!C17/12))</f>
        <v>1520298.4550922527</v>
      </c>
      <c r="G16" s="5">
        <f t="shared" si="1"/>
        <v>12748240.952219686</v>
      </c>
      <c r="H16" s="3">
        <f>Paramètres!C5*(1.02^13)</f>
        <v>7114836.4674958782</v>
      </c>
    </row>
    <row r="17" spans="2:8" ht="18" customHeight="1" x14ac:dyDescent="0.2">
      <c r="B17" s="25">
        <v>14</v>
      </c>
      <c r="C17" s="3">
        <f>C16*(1+Paramètres!C37)</f>
        <v>1381993.5232653006</v>
      </c>
      <c r="D17" s="3">
        <f>Paramètres!C19*12</f>
        <v>266512.35375388153</v>
      </c>
      <c r="E17" s="26">
        <f t="shared" si="0"/>
        <v>1115481.169511419</v>
      </c>
      <c r="F17" s="3">
        <f>F16*(1+Paramètres!C17/12)^12-Paramètres!C19*(((1+Paramètres!C17/12)^12-1)/(Paramètres!C17/12))</f>
        <v>1340102.1569433801</v>
      </c>
      <c r="G17" s="5">
        <f t="shared" si="1"/>
        <v>13863722.121731104</v>
      </c>
      <c r="H17" s="3">
        <f>Paramètres!C5*(1.02^14)</f>
        <v>7257133.1968457969</v>
      </c>
    </row>
    <row r="18" spans="2:8" ht="18" customHeight="1" x14ac:dyDescent="0.2">
      <c r="B18" s="25">
        <v>15</v>
      </c>
      <c r="C18" s="3">
        <f>C17*(1+Paramètres!C37)</f>
        <v>1402723.42611428</v>
      </c>
      <c r="D18" s="3">
        <f>Paramètres!C19*12</f>
        <v>266512.35375388153</v>
      </c>
      <c r="E18" s="26">
        <f t="shared" si="0"/>
        <v>1136211.0723603985</v>
      </c>
      <c r="F18" s="3">
        <f>F17*(1+Paramètres!C17/12)^12-Paramètres!C19*(((1+Paramètres!C17/12)^12-1)/(Paramètres!C17/12))</f>
        <v>1148791.7454186024</v>
      </c>
      <c r="G18" s="5">
        <f t="shared" si="1"/>
        <v>14999933.194091503</v>
      </c>
      <c r="H18" s="3">
        <f>Paramètres!C5*(1.02^15)</f>
        <v>7402275.8607827108</v>
      </c>
    </row>
    <row r="19" spans="2:8" ht="18" customHeight="1" x14ac:dyDescent="0.2">
      <c r="B19" s="25">
        <v>16</v>
      </c>
      <c r="C19" s="3">
        <f>C18*(1+Paramètres!C37)</f>
        <v>1423764.2775059941</v>
      </c>
      <c r="D19" s="3">
        <f>Paramètres!C19*12</f>
        <v>266512.35375388153</v>
      </c>
      <c r="E19" s="26">
        <f t="shared" si="0"/>
        <v>1157251.9237521125</v>
      </c>
      <c r="F19" s="3">
        <f>F18*(1+Paramètres!C17/12)^12-Paramètres!C19*(((1+Paramètres!C17/12)^12-1)/(Paramètres!C17/12))</f>
        <v>945681.72632407979</v>
      </c>
      <c r="G19" s="5">
        <f t="shared" si="1"/>
        <v>16157185.117843615</v>
      </c>
      <c r="H19" s="3">
        <f>Paramètres!C5*(1.02^16)</f>
        <v>7550321.377998366</v>
      </c>
    </row>
    <row r="20" spans="2:8" ht="18" customHeight="1" x14ac:dyDescent="0.2">
      <c r="B20" s="25">
        <v>17</v>
      </c>
      <c r="C20" s="3">
        <f>C19*(1+Paramètres!C37)</f>
        <v>1445120.7416685838</v>
      </c>
      <c r="D20" s="3">
        <f>Paramètres!C19*12</f>
        <v>266512.35375388153</v>
      </c>
      <c r="E20" s="26">
        <f t="shared" si="0"/>
        <v>1178608.3879147023</v>
      </c>
      <c r="F20" s="3">
        <f>F19*(1+Paramètres!C17/12)^12-Paramètres!C19*(((1+Paramètres!C17/12)^12-1)/(Paramètres!C17/12))</f>
        <v>730044.3256840508</v>
      </c>
      <c r="G20" s="5">
        <f t="shared" si="1"/>
        <v>17335793.505758315</v>
      </c>
      <c r="H20" s="3">
        <f>Paramètres!C5*(1.02^17)</f>
        <v>7701327.8055583341</v>
      </c>
    </row>
    <row r="21" spans="2:8" ht="18" customHeight="1" x14ac:dyDescent="0.2">
      <c r="B21" s="25">
        <v>18</v>
      </c>
      <c r="C21" s="3">
        <f>C20*(1+Paramètres!C37)</f>
        <v>1466797.5527936125</v>
      </c>
      <c r="D21" s="3">
        <f>Paramètres!C19*12</f>
        <v>266512.35375388153</v>
      </c>
      <c r="E21" s="26">
        <f t="shared" si="0"/>
        <v>1200285.1990397309</v>
      </c>
      <c r="F21" s="3">
        <f>F20*(1+Paramètres!C17/12)^12-Paramètres!C19*(((1+Paramètres!C17/12)^12-1)/(Paramètres!C17/12))</f>
        <v>501106.88201639667</v>
      </c>
      <c r="G21" s="5">
        <f t="shared" si="1"/>
        <v>18536078.704798046</v>
      </c>
      <c r="H21" s="3">
        <f>Paramètres!C5*(1.02^18)</f>
        <v>7855354.3616695004</v>
      </c>
    </row>
    <row r="22" spans="2:8" ht="18" customHeight="1" x14ac:dyDescent="0.2">
      <c r="B22" s="25">
        <v>19</v>
      </c>
      <c r="C22" s="3">
        <f>C21*(1+Paramètres!C37)</f>
        <v>1488799.5160855164</v>
      </c>
      <c r="D22" s="3">
        <f>Paramètres!C19*12</f>
        <v>266512.35375388153</v>
      </c>
      <c r="E22" s="26">
        <f t="shared" si="0"/>
        <v>1222287.1623316349</v>
      </c>
      <c r="F22" s="3">
        <f>F21*(1+Paramètres!C17/12)^12-Paramètres!C19*(((1+Paramètres!C17/12)^12-1)/(Paramètres!C17/12))</f>
        <v>258049.07776946999</v>
      </c>
      <c r="G22" s="5">
        <f t="shared" si="1"/>
        <v>19758365.86712968</v>
      </c>
      <c r="H22" s="3">
        <f>Paramètres!C5*(1.02^19)</f>
        <v>8012461.4489028901</v>
      </c>
    </row>
    <row r="23" spans="2:8" ht="18" customHeight="1" x14ac:dyDescent="0.2">
      <c r="B23" s="25">
        <v>20</v>
      </c>
      <c r="C23" s="3">
        <f>C22*(1+Paramètres!C37)</f>
        <v>1511131.508826799</v>
      </c>
      <c r="D23" s="3">
        <f>Paramètres!C19*12</f>
        <v>266512.35375388153</v>
      </c>
      <c r="E23" s="26">
        <f t="shared" si="0"/>
        <v>1244619.1550729175</v>
      </c>
      <c r="F23" s="3">
        <f>F22*(1+Paramètres!C17/12)^12-Paramètres!C19*(((1+Paramètres!C17/12)^12-1)/(Paramètres!C17/12))</f>
        <v>3.4924596548080444E-9</v>
      </c>
      <c r="G23" s="5">
        <f t="shared" si="1"/>
        <v>21002985.022202596</v>
      </c>
      <c r="H23" s="3">
        <f>Paramètres!C5*(1.02^20)</f>
        <v>8172710.6778809484</v>
      </c>
    </row>
    <row r="24" spans="2:8" ht="18" customHeight="1" x14ac:dyDescent="0.2"/>
    <row r="25" spans="2:8" ht="18" customHeight="1" x14ac:dyDescent="0.2">
      <c r="B25" s="27" t="s">
        <v>72</v>
      </c>
      <c r="C25" s="28">
        <f>SUM(C4:C23)</f>
        <v>26333232.097280234</v>
      </c>
      <c r="D25" s="28">
        <f>SUM(D4:D23)</f>
        <v>5330247.0750776306</v>
      </c>
      <c r="E25" s="28">
        <f>SUM(E4:E23)</f>
        <v>21002985.022202596</v>
      </c>
    </row>
    <row r="26" spans="2:8" ht="18" customHeight="1" x14ac:dyDescent="0.2"/>
    <row r="27" spans="2:8" ht="18" customHeight="1" x14ac:dyDescent="0.2"/>
    <row r="28" spans="2:8" ht="18" customHeight="1" x14ac:dyDescent="0.2"/>
    <row r="29" spans="2:8" ht="18" customHeight="1" x14ac:dyDescent="0.2"/>
  </sheetData>
  <mergeCells count="1">
    <mergeCell ref="B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📋 Notice</vt:lpstr>
      <vt:lpstr>Paramètres</vt:lpstr>
      <vt:lpstr>Matrice Décision</vt:lpstr>
      <vt:lpstr>ESTIMATION du Plan 20 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2026-02-26T13:18:01Z</dcterms:created>
  <dcterms:modified xsi:type="dcterms:W3CDTF">2026-02-28T11:11:46Z</dcterms:modified>
  <dc:language>en-US</dc:language>
</cp:coreProperties>
</file>