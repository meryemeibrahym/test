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/>
  <mc:AlternateContent xmlns:mc="http://schemas.openxmlformats.org/markup-compatibility/2006">
    <mc:Choice Requires="x15">
      <x15ac:absPath xmlns:x15ac="http://schemas.microsoft.com/office/spreadsheetml/2010/11/ac" url="/Users/ibrahym/Desktop/MES OUTILS/"/>
    </mc:Choice>
  </mc:AlternateContent>
  <xr:revisionPtr revIDLastSave="0" documentId="8_{DD83A316-251B-2741-B215-296700AD7271}" xr6:coauthVersionLast="47" xr6:coauthVersionMax="47" xr10:uidLastSave="{00000000-0000-0000-0000-000000000000}"/>
  <bookViews>
    <workbookView xWindow="0" yWindow="0" windowWidth="28800" windowHeight="18000" tabRatio="500" xr2:uid="{00000000-000D-0000-FFFF-FFFF00000000}"/>
  </bookViews>
  <sheets>
    <sheet name="📊 Synthèse &amp; Scoring" sheetId="1" r:id="rId1"/>
    <sheet name="Diligences Juridique &amp; Foncier" sheetId="2" r:id="rId2"/>
    <sheet name="Diligences Technique" sheetId="3" r:id="rId3"/>
    <sheet name="Diligences Économique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5" i="1" l="1"/>
  <c r="E15" i="1"/>
  <c r="F15" i="1" s="1"/>
  <c r="D15" i="1"/>
  <c r="C15" i="1"/>
  <c r="B15" i="1"/>
  <c r="G14" i="1"/>
  <c r="E14" i="1"/>
  <c r="F14" i="1" s="1"/>
  <c r="D14" i="1"/>
  <c r="C14" i="1"/>
  <c r="B14" i="1"/>
  <c r="G13" i="1"/>
  <c r="E13" i="1"/>
  <c r="F13" i="1" s="1"/>
  <c r="D13" i="1"/>
  <c r="C13" i="1"/>
  <c r="B13" i="1"/>
  <c r="G17" i="1" l="1"/>
  <c r="F17" i="1"/>
  <c r="A20" i="1" s="1"/>
  <c r="E17" i="1"/>
</calcChain>
</file>

<file path=xl/sharedStrings.xml><?xml version="1.0" encoding="utf-8"?>
<sst xmlns="http://schemas.openxmlformats.org/spreadsheetml/2006/main" count="341" uniqueCount="150">
  <si>
    <t>TABLEAU DE BORD DES DUE DILIGENCES</t>
  </si>
  <si>
    <t>INFORMATIONS PROJET</t>
  </si>
  <si>
    <t>Nom du bien :</t>
  </si>
  <si>
    <t>RIAD MÉMOIRE EXPERTISE COMPTABLE</t>
  </si>
  <si>
    <t>Adresse :</t>
  </si>
  <si>
    <t>75 AVENUE DE LA SOUTENANCE</t>
  </si>
  <si>
    <t>Ville :</t>
  </si>
  <si>
    <t>MARRAKECH</t>
  </si>
  <si>
    <t>Prix demandé (MAD) :</t>
  </si>
  <si>
    <t>Date d'évaluation :</t>
  </si>
  <si>
    <t>SCORING AUTOMATISÉ</t>
  </si>
  <si>
    <t>Catégorie</t>
  </si>
  <si>
    <t>Validé ✓</t>
  </si>
  <si>
    <t>Non validé ✗</t>
  </si>
  <si>
    <t>N/A</t>
  </si>
  <si>
    <t>Points obtenus</t>
  </si>
  <si>
    <t>Note /100</t>
  </si>
  <si>
    <t>Points max</t>
  </si>
  <si>
    <t>Due Diligences Juridiques &amp; Foncières</t>
  </si>
  <si>
    <t>Due Diligences Techniques</t>
  </si>
  <si>
    <t>Due Diligences Économiques</t>
  </si>
  <si>
    <t>SCORE GLOBAL DU PROJET</t>
  </si>
  <si>
    <t>RECOMMANDATION AUTOMATIQUE</t>
  </si>
  <si>
    <t>DUE DILIGENCES JURIDIQUE &amp; FONCIER</t>
  </si>
  <si>
    <t>N°</t>
  </si>
  <si>
    <t>Question de contrôle</t>
  </si>
  <si>
    <t>Statut</t>
  </si>
  <si>
    <t>Niveau de risque</t>
  </si>
  <si>
    <t>Points</t>
  </si>
  <si>
    <t>Commentaires / Actions</t>
  </si>
  <si>
    <t>1</t>
  </si>
  <si>
    <t>Le bien dispose-t-il d'un titre foncier immatriculé à la Conservation Foncière ?</t>
  </si>
  <si>
    <t>✓ Validé</t>
  </si>
  <si>
    <t>● Bloquant</t>
  </si>
  <si>
    <t xml:space="preserve">Oui le bien dispose d'un titre foncier </t>
  </si>
  <si>
    <t>2</t>
  </si>
  <si>
    <t>Le numéro de titre foncier est-il clairement identifié et consultable ?</t>
  </si>
  <si>
    <t>3</t>
  </si>
  <si>
    <t>La superficie inscrite correspond-elle à la superficie réelle ?</t>
  </si>
  <si>
    <t>Pas d'extention réalisée depuis</t>
  </si>
  <si>
    <t>4</t>
  </si>
  <si>
    <t>Le plan cadastral reflète-t-il fidèlement les limites physiques ?</t>
  </si>
  <si>
    <t>■ Négociable</t>
  </si>
  <si>
    <t>oui</t>
  </si>
  <si>
    <t>6</t>
  </si>
  <si>
    <t>L'immatriculation est-elle récente (&lt;10 ans) ou ancienne ?</t>
  </si>
  <si>
    <t>▲ Vigilance</t>
  </si>
  <si>
    <t>oui immatriculation 5 ans</t>
  </si>
  <si>
    <t>8</t>
  </si>
  <si>
    <t>Existe-t-il des créances inscrites ou sûretés réelles ?</t>
  </si>
  <si>
    <t>non</t>
  </si>
  <si>
    <t>9</t>
  </si>
  <si>
    <t>Le bien fait-il l'objet d'une saisie ou séquestre ?</t>
  </si>
  <si>
    <t>10</t>
  </si>
  <si>
    <t>Le vendeur a-t-il des dettes fiscales/sociales risquant inscription ?</t>
  </si>
  <si>
    <t>11</t>
  </si>
  <si>
    <t>Les taxes locales (habitation, services communaux) sont-elles à jour ?</t>
  </si>
  <si>
    <t>12</t>
  </si>
  <si>
    <t>Le bien est-il en pleine propriété ou en indivision familiale ?</t>
  </si>
  <si>
    <t>en pleine propriété</t>
  </si>
  <si>
    <t>13</t>
  </si>
  <si>
    <t>Tous les co-indivisaires ont-ils donné leur accord formel ?</t>
  </si>
  <si>
    <t>14</t>
  </si>
  <si>
    <t>Le bien fait-il partie d'une copropriété avec règlement ?</t>
  </si>
  <si>
    <t>⊗ Non applicable</t>
  </si>
  <si>
    <t>15</t>
  </si>
  <si>
    <t>Les charges de copropriété sont-elles à jour ?</t>
  </si>
  <si>
    <t>16</t>
  </si>
  <si>
    <t>Existe-t-il des servitudes légales ou conventionnelles ?</t>
  </si>
  <si>
    <t>18</t>
  </si>
  <si>
    <t>Le bien bénéficie-t-il de servitudes de passage nécessaires ?</t>
  </si>
  <si>
    <t>19</t>
  </si>
  <si>
    <t>Existe-t-il des servitudes non déclarées reconnues par usage ?</t>
  </si>
  <si>
    <t>20</t>
  </si>
  <si>
    <t>L'accès est-il garanti par voie publique ou privée avec acte ?</t>
  </si>
  <si>
    <t>22</t>
  </si>
  <si>
    <t>Existe-t-il des litiges avec le voisinage (bornage, empiétement) ?</t>
  </si>
  <si>
    <t>23</t>
  </si>
  <si>
    <t>Le bien dispose-t-il d'un permis d'habiter (Roukhsa) valide ?</t>
  </si>
  <si>
    <t>Y a-t-il eu des modifications/extensions non déclarées ?</t>
  </si>
  <si>
    <t>Le bien est-il en zone classée (médina UNESCO) ?</t>
  </si>
  <si>
    <t>oui dans la Médina</t>
  </si>
  <si>
    <t>Commentairess</t>
  </si>
  <si>
    <t>DUE DILIGENCES TECHNIQUE</t>
  </si>
  <si>
    <t>L'état des fondations présente-t-il des signes de tassement/fissuration ?</t>
  </si>
  <si>
    <t>Les murs porteurs sont-ils en bon état sans désordres structurels ?</t>
  </si>
  <si>
    <t>La charpente et couverture sont-elles saines ?</t>
  </si>
  <si>
    <t>L'étanchéité des terrasses/toitures est-elle conforme ?</t>
  </si>
  <si>
    <t>5</t>
  </si>
  <si>
    <t>Les planchers et dalles sont-ils stables et aux normes ?</t>
  </si>
  <si>
    <t>Les menuiseries extérieures sont-elles en bon état et sécurisées ?</t>
  </si>
  <si>
    <t>7</t>
  </si>
  <si>
    <t>L'installation électrique est-elle aux normes avec tableau conforme ?</t>
  </si>
  <si>
    <t>La plomberie/assainissement fonctionnent-ils sans fuites ?</t>
  </si>
  <si>
    <t>✗ Non validé</t>
  </si>
  <si>
    <t xml:space="preserve">il y a des travaux à faire </t>
  </si>
  <si>
    <t>Le bien est-il raccordé aux réseaux eau potable/assainissement ?</t>
  </si>
  <si>
    <t>Les équipements climatisation/chauffage sont-ils fonctionnels ?</t>
  </si>
  <si>
    <t>La clim est à refaire</t>
  </si>
  <si>
    <t>Le système d'eau chaude sanitaire est-il adapté à l'exploitation ?</t>
  </si>
  <si>
    <t>Le chauffage piscine (si existante) est-il fonctionnel et économe ?</t>
  </si>
  <si>
    <t>Le bien respecte-t-il les normes incendie ?</t>
  </si>
  <si>
    <t>Les issues de secours sont-elles conformes et suffisantes ?</t>
  </si>
  <si>
    <t>Les équipements obligatoires (extincteurs, alarme) sont-ils présents ?</t>
  </si>
  <si>
    <t>L'accessibilité PMR est-elle conforme aux exigences marocaines ?</t>
  </si>
  <si>
    <t>17</t>
  </si>
  <si>
    <t>Les installations respectent-elles les normes sanitaires hébergement ?</t>
  </si>
  <si>
    <t>La décoration intérieure nécessite-t-elle un rafraîchissement ?</t>
  </si>
  <si>
    <t>oui une mise à jour est nécessaire</t>
  </si>
  <si>
    <t>Le mobilier existant est-il exploitable ou à remplacer ?</t>
  </si>
  <si>
    <t>La majorité est à remplacer</t>
  </si>
  <si>
    <t>L'aménagement correspond-il au positionnement commercial visé ?</t>
  </si>
  <si>
    <t>21</t>
  </si>
  <si>
    <t>Les espaces communs (patio, salon) sont-ils fonctionnels et attractifs ?</t>
  </si>
  <si>
    <t>Les chambres ont-elles des salles de bain privatives conformes ?</t>
  </si>
  <si>
    <t>Le bien dispose-t-il des équipements de confort attendus (wifi, coffres) ?</t>
  </si>
  <si>
    <t>💹 ÉCONOMIQUE</t>
  </si>
  <si>
    <t>La dynamique touristique de la zone est-elle en croissance ?</t>
  </si>
  <si>
    <t xml:space="preserve">Oui la médina de Marrakech est très attractive </t>
  </si>
  <si>
    <t>Le profil clientèle du quartier correspond-il au positionnement visé ?</t>
  </si>
  <si>
    <t xml:space="preserve">Clientèle très variée oui </t>
  </si>
  <si>
    <t>La saisonnalité impacte-t-elle fortement le taux d'occupation ?</t>
  </si>
  <si>
    <t xml:space="preserve">Marrakech est très attractif toute l'année avec pic au printemps et en été </t>
  </si>
  <si>
    <t>Les tarifs de la concurrence sont-ils cohérents avec le projet ?</t>
  </si>
  <si>
    <t>Le quartier bénéficie-t-il d'infrastructures touristiques développées ?</t>
  </si>
  <si>
    <t xml:space="preserve">oui Marrakech est bien developper tout en gardant son authenticité </t>
  </si>
  <si>
    <t>Le bien dispose-t-il d'une licence d'exploitation touristique valide ?</t>
  </si>
  <si>
    <t xml:space="preserve">Oui </t>
  </si>
  <si>
    <t>Le classement actuel (étoiles) est-il conforme au projet ?</t>
  </si>
  <si>
    <t>Les obligations déclaratives locales sont-elles identifiées ?</t>
  </si>
  <si>
    <t>Existe-t-il des restrictions d'exploitation liées au zonage ?</t>
  </si>
  <si>
    <t>Le bien peut-il être commercialisé sur Booking/Airbnb ?</t>
  </si>
  <si>
    <t>La capacité d'accueil (chambres) est-elle optimale ?</t>
  </si>
  <si>
    <t>Le taux d'occupation prévisible est-il supérieur à 60% ?</t>
  </si>
  <si>
    <t xml:space="preserve">oui </t>
  </si>
  <si>
    <t>Le retour sur investissement est-il &lt;15 ans ?</t>
  </si>
  <si>
    <t xml:space="preserve">Oui prévisionnel mis en place (ancien proprio a rentabilisé en moins de 10 ans) </t>
  </si>
  <si>
    <t>Les coûts travaux/mise en conformité sont-ils compatibles ?</t>
  </si>
  <si>
    <t xml:space="preserve">Oui prévu </t>
  </si>
  <si>
    <t>non c'est un Riad : individuelle N/A</t>
  </si>
  <si>
    <t>pas d'indivision N/A</t>
  </si>
  <si>
    <t>non pas de risque</t>
  </si>
  <si>
    <t>oui à jour</t>
  </si>
  <si>
    <t>non RAS</t>
  </si>
  <si>
    <t>oui validé</t>
  </si>
  <si>
    <t xml:space="preserve">Le riad est racheté à un ancien exploitant, l'intervention d'un notaire sécurise l'opération sur le plan juridique. Le titre foncier est immatriculé, identifié et consultable, la superficie est conforme, l'immatriculation date de 5 ans. Bien en pleine propriété, aucune indivision, aucune créance ni saisie, taxes à jour. Servitudes validées, accès garanti, Roukhsa valide. </t>
  </si>
  <si>
    <t>Le riad est repris après une exploitation étrangère, la structure est saine, aucun travail lourd sur le gros œuvre n'est à prévoir. Installations réglementaires conformes (électricité, réseaux, incendie, sanitaire). Deux points à négocier dans le prix : la plomberie est défaillante (à chiffrer avant signature) et l'accessibilité PMR n'est pas conforme (impact possible sur certaines subventions). Une remise à niveau commerciale est nécessaire avant ouverture : climatisation à refaire, décoration et mobilier à remplacer. Ces postes sont anticipés et provisionnés dans le projet.</t>
  </si>
  <si>
    <t>3 étoiles</t>
  </si>
  <si>
    <t>Le bien est repris à un exploitant étranger qui a rentabilisé son investissement en moins de 10 ans. Licence d'exploitation valide, classement 3 étoiles, commercialisation Booking/Airbnb possible, aucune restriction de zonage. Marrakech médina : attractivité toute l'année, clientèle variée, tarifs cohérents avec le marché. Taux d'occupation prévisible &gt; 60%</t>
  </si>
  <si>
    <t>5 500 000 000 MAD (environ 550 000€)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</si>
</sst>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7" formatCode="0&quot;/100&quot;"/>
  </numFmts>
  <fonts count="14" x14ac:knownFonts="1">
    <font>
      <sz val="11"/>
      <color theme="1"/>
      <name val="Calibri"/>
      <family val="2"/>
      <charset val="1"/>
    </font>
    <font>
      <b/>
      <sz val="18"/>
      <color rgb="FF1F4E78"/>
      <name val="Calibri"/>
      <family val="2"/>
      <charset val="1"/>
    </font>
    <font>
      <b/>
      <sz val="13"/>
      <color rgb="FF1F4E78"/>
      <name val="Calibri"/>
      <family val="2"/>
      <charset val="1"/>
    </font>
    <font>
      <b/>
      <sz val="12"/>
      <color rgb="FF0070C0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1"/>
      <name val="Calibri"/>
      <family val="2"/>
      <charset val="1"/>
    </font>
    <font>
      <b/>
      <sz val="13"/>
      <color rgb="FFFFFFFF"/>
      <name val="Calibri"/>
      <family val="2"/>
      <charset val="1"/>
    </font>
    <font>
      <b/>
      <sz val="12"/>
      <name val="Calibri"/>
      <family val="2"/>
      <charset val="1"/>
    </font>
    <font>
      <b/>
      <sz val="14"/>
      <color rgb="FF1F4E78"/>
      <name val="Calibri"/>
      <family val="2"/>
      <charset val="1"/>
    </font>
    <font>
      <b/>
      <sz val="14"/>
      <color rgb="FFFFFFFF"/>
      <name val="Calibri"/>
      <family val="2"/>
      <charset val="1"/>
    </font>
    <font>
      <b/>
      <sz val="14"/>
      <color theme="1"/>
      <name val="Calibri"/>
      <family val="2"/>
      <charset val="1"/>
    </font>
    <font>
      <sz val="8"/>
      <name val="Calibri"/>
      <family val="2"/>
      <charset val="1"/>
    </font>
    <font>
      <b/>
      <sz val="9"/>
      <color rgb="FFFFFFFF"/>
      <name val="Calibri"/>
      <family val="2"/>
    </font>
    <font>
      <sz val="9"/>
      <color rgb="FFFFFFFF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theme="8" tint="0.59987182226020086"/>
        <bgColor rgb="FFB9CDE5"/>
      </patternFill>
    </fill>
    <fill>
      <patternFill patternType="solid">
        <fgColor rgb="FFFFC000"/>
        <bgColor rgb="FFFFD700"/>
      </patternFill>
    </fill>
    <fill>
      <patternFill patternType="solid">
        <fgColor rgb="FFF0F0F0"/>
        <bgColor rgb="FFE8F4F8"/>
      </patternFill>
    </fill>
    <fill>
      <patternFill patternType="solid">
        <fgColor theme="4" tint="0.79989013336588644"/>
        <bgColor rgb="FFE8F4F8"/>
      </patternFill>
    </fill>
    <fill>
      <patternFill patternType="solid">
        <fgColor rgb="FF1F4E78"/>
        <bgColor rgb="FF003366"/>
      </patternFill>
    </fill>
    <fill>
      <patternFill patternType="solid">
        <fgColor rgb="FFE8F4F8"/>
        <bgColor rgb="FFF0F0F0"/>
      </patternFill>
    </fill>
    <fill>
      <patternFill patternType="solid">
        <fgColor rgb="FFFF6B6B"/>
        <bgColor rgb="FFE46C0A"/>
      </patternFill>
    </fill>
    <fill>
      <patternFill patternType="solid">
        <fgColor rgb="FFFFD700"/>
        <bgColor rgb="FFFFC000"/>
      </patternFill>
    </fill>
    <fill>
      <patternFill patternType="solid">
        <fgColor rgb="FFFFA500"/>
        <bgColor rgb="FFFFC000"/>
      </patternFill>
    </fill>
    <fill>
      <patternFill patternType="solid">
        <fgColor theme="4" tint="0.59987182226020086"/>
        <bgColor rgb="FFB7DEE8"/>
      </patternFill>
    </fill>
    <fill>
      <patternFill patternType="solid">
        <fgColor theme="9" tint="-0.249977111117893"/>
        <bgColor rgb="FFB9CDE5"/>
      </patternFill>
    </fill>
    <fill>
      <patternFill patternType="solid">
        <fgColor theme="8" tint="0.39997558519241921"/>
        <bgColor rgb="FFFF6B6B"/>
      </patternFill>
    </fill>
    <fill>
      <patternFill patternType="solid">
        <fgColor theme="8" tint="-0.249977111117893"/>
        <bgColor rgb="FFFF6B6B"/>
      </patternFill>
    </fill>
    <fill>
      <patternFill patternType="solid">
        <fgColor theme="8" tint="0.59999389629810485"/>
        <bgColor rgb="FFFFB6C1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0" fillId="11" borderId="8" xfId="0" applyFont="1" applyFill="1" applyBorder="1" applyAlignment="1">
      <alignment horizontal="center"/>
    </xf>
    <xf numFmtId="0" fontId="9" fillId="6" borderId="0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/>
    </xf>
    <xf numFmtId="164" fontId="3" fillId="4" borderId="7" xfId="0" applyNumberFormat="1" applyFont="1" applyFill="1" applyBorder="1" applyAlignment="1">
      <alignment horizontal="left"/>
    </xf>
    <xf numFmtId="0" fontId="3" fillId="4" borderId="5" xfId="0" applyFont="1" applyFill="1" applyBorder="1"/>
    <xf numFmtId="0" fontId="3" fillId="4" borderId="3" xfId="0" applyFont="1" applyFill="1" applyBorder="1"/>
    <xf numFmtId="0" fontId="2" fillId="3" borderId="1" xfId="0" applyFont="1" applyFill="1" applyBorder="1" applyAlignment="1">
      <alignment horizontal="center"/>
    </xf>
    <xf numFmtId="0" fontId="0" fillId="0" borderId="2" xfId="0" applyFont="1" applyBorder="1"/>
    <xf numFmtId="0" fontId="0" fillId="0" borderId="4" xfId="0" applyFont="1" applyBorder="1"/>
    <xf numFmtId="0" fontId="0" fillId="0" borderId="6" xfId="0" applyFont="1" applyBorder="1"/>
    <xf numFmtId="0" fontId="5" fillId="0" borderId="8" xfId="0" applyFont="1" applyBorder="1"/>
    <xf numFmtId="0" fontId="0" fillId="0" borderId="8" xfId="0" applyBorder="1" applyAlignment="1">
      <alignment horizontal="center"/>
    </xf>
    <xf numFmtId="0" fontId="4" fillId="6" borderId="8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0" fillId="0" borderId="8" xfId="0" applyFont="1" applyBorder="1" applyAlignment="1">
      <alignment vertical="center" wrapText="1"/>
    </xf>
    <xf numFmtId="0" fontId="0" fillId="7" borderId="8" xfId="0" applyFont="1" applyFill="1" applyBorder="1" applyAlignment="1">
      <alignment horizontal="center" vertical="center"/>
    </xf>
    <xf numFmtId="0" fontId="5" fillId="8" borderId="8" xfId="0" applyFont="1" applyFill="1" applyBorder="1" applyAlignment="1">
      <alignment horizontal="center" vertical="center"/>
    </xf>
    <xf numFmtId="1" fontId="5" fillId="0" borderId="8" xfId="0" applyNumberFormat="1" applyFont="1" applyBorder="1" applyAlignment="1">
      <alignment horizontal="center" vertical="center"/>
    </xf>
    <xf numFmtId="0" fontId="5" fillId="9" borderId="8" xfId="0" applyFont="1" applyFill="1" applyBorder="1" applyAlignment="1">
      <alignment horizontal="center" vertical="center"/>
    </xf>
    <xf numFmtId="0" fontId="5" fillId="10" borderId="8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1" fillId="12" borderId="0" xfId="0" applyFont="1" applyFill="1" applyBorder="1" applyAlignment="1">
      <alignment horizontal="center" vertical="center"/>
    </xf>
    <xf numFmtId="0" fontId="4" fillId="13" borderId="8" xfId="0" applyFont="1" applyFill="1" applyBorder="1" applyAlignment="1">
      <alignment horizontal="center" vertical="center" wrapText="1"/>
    </xf>
    <xf numFmtId="0" fontId="6" fillId="14" borderId="8" xfId="0" applyFont="1" applyFill="1" applyBorder="1" applyAlignment="1">
      <alignment horizontal="center" vertical="center"/>
    </xf>
    <xf numFmtId="0" fontId="2" fillId="15" borderId="8" xfId="0" applyFont="1" applyFill="1" applyBorder="1" applyAlignment="1">
      <alignment horizontal="center"/>
    </xf>
    <xf numFmtId="0" fontId="12" fillId="13" borderId="0" xfId="0" applyFont="1" applyFill="1" applyAlignment="1">
      <alignment horizontal="center"/>
    </xf>
    <xf numFmtId="1" fontId="12" fillId="13" borderId="0" xfId="0" applyNumberFormat="1" applyFont="1" applyFill="1" applyAlignment="1">
      <alignment horizontal="center"/>
    </xf>
    <xf numFmtId="1" fontId="13" fillId="0" borderId="0" xfId="0" applyNumberFormat="1" applyFont="1"/>
    <xf numFmtId="1" fontId="0" fillId="0" borderId="0" xfId="0" applyNumberFormat="1"/>
    <xf numFmtId="1" fontId="0" fillId="0" borderId="8" xfId="0" applyNumberFormat="1" applyBorder="1" applyAlignment="1">
      <alignment horizontal="center"/>
    </xf>
    <xf numFmtId="1" fontId="7" fillId="0" borderId="8" xfId="0" applyNumberFormat="1" applyFont="1" applyBorder="1" applyAlignment="1">
      <alignment horizontal="center"/>
    </xf>
    <xf numFmtId="167" fontId="5" fillId="0" borderId="8" xfId="0" applyNumberFormat="1" applyFont="1" applyBorder="1" applyAlignment="1">
      <alignment horizontal="center"/>
    </xf>
    <xf numFmtId="167" fontId="0" fillId="0" borderId="0" xfId="0" applyNumberFormat="1"/>
    <xf numFmtId="167" fontId="8" fillId="0" borderId="8" xfId="0" applyNumberFormat="1" applyFont="1" applyBorder="1" applyAlignment="1">
      <alignment horizontal="center"/>
    </xf>
  </cellXfs>
  <cellStyles count="1">
    <cellStyle name="Normal" xfId="0" builtinId="0"/>
  </cellStyles>
  <dxfs count="9">
    <dxf>
      <fill>
        <patternFill>
          <bgColor rgb="FFD3D3D3"/>
        </patternFill>
      </fill>
    </dxf>
    <dxf>
      <fill>
        <patternFill>
          <bgColor rgb="FFFFB6C1"/>
        </patternFill>
      </fill>
    </dxf>
    <dxf>
      <fill>
        <patternFill>
          <bgColor rgb="FF90EE90"/>
        </patternFill>
      </fill>
    </dxf>
    <dxf>
      <fill>
        <patternFill>
          <bgColor rgb="FFD3D3D3"/>
        </patternFill>
      </fill>
    </dxf>
    <dxf>
      <fill>
        <patternFill>
          <bgColor rgb="FFFFB6C1"/>
        </patternFill>
      </fill>
    </dxf>
    <dxf>
      <fill>
        <patternFill>
          <bgColor rgb="FF90EE90"/>
        </patternFill>
      </fill>
    </dxf>
    <dxf>
      <fill>
        <patternFill>
          <bgColor rgb="FFD3D3D3"/>
        </patternFill>
      </fill>
    </dxf>
    <dxf>
      <fill>
        <patternFill>
          <bgColor rgb="FFFFB6C1"/>
        </patternFill>
      </fill>
    </dxf>
    <dxf>
      <fill>
        <patternFill>
          <bgColor rgb="FF90EE9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C0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3D3D3"/>
      <rgbColor rgb="FF808080"/>
      <rgbColor rgb="FF9999FF"/>
      <rgbColor rgb="FF993366"/>
      <rgbColor rgb="FFF0F0F0"/>
      <rgbColor rgb="FFE8F4F8"/>
      <rgbColor rgb="FF660066"/>
      <rgbColor rgb="FFFF6B6B"/>
      <rgbColor rgb="FF0070C0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2"/>
      <rgbColor rgb="FF90EE90"/>
      <rgbColor rgb="FFFFFF99"/>
      <rgbColor rgb="FFB7DEE8"/>
      <rgbColor rgb="FFD99694"/>
      <rgbColor rgb="FFCC99FF"/>
      <rgbColor rgb="FFFFB6C1"/>
      <rgbColor rgb="FF3366FF"/>
      <rgbColor rgb="FF33CCCC"/>
      <rgbColor rgb="FF99CC00"/>
      <rgbColor rgb="FFFFD700"/>
      <rgbColor rgb="FFFFA500"/>
      <rgbColor rgb="FFE46C0A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zoomScale="131" zoomScaleNormal="131" workbookViewId="0">
      <selection activeCell="H11" sqref="H11"/>
    </sheetView>
  </sheetViews>
  <sheetFormatPr baseColWidth="10" defaultColWidth="8.83203125" defaultRowHeight="15" x14ac:dyDescent="0.2"/>
  <cols>
    <col min="1" max="1" width="40" customWidth="1"/>
    <col min="2" max="2" width="12" customWidth="1"/>
    <col min="3" max="3" width="13" customWidth="1"/>
    <col min="4" max="4" width="10" customWidth="1"/>
    <col min="5" max="6" width="15" customWidth="1"/>
  </cols>
  <sheetData>
    <row r="1" spans="1:7" ht="34.5" customHeight="1" x14ac:dyDescent="0.2">
      <c r="A1" s="23" t="s">
        <v>0</v>
      </c>
      <c r="B1" s="23"/>
      <c r="C1" s="23"/>
      <c r="D1" s="23"/>
      <c r="E1" s="23"/>
      <c r="F1" s="23"/>
      <c r="G1" s="23"/>
    </row>
    <row r="3" spans="1:7" ht="16.5" customHeight="1" x14ac:dyDescent="0.2">
      <c r="A3" s="8" t="s">
        <v>1</v>
      </c>
      <c r="B3" s="8"/>
      <c r="C3" s="8"/>
      <c r="D3" s="8"/>
      <c r="E3" s="8"/>
      <c r="F3" s="8"/>
      <c r="G3" s="8"/>
    </row>
    <row r="4" spans="1:7" ht="15.75" customHeight="1" x14ac:dyDescent="0.2">
      <c r="A4" s="9" t="s">
        <v>2</v>
      </c>
      <c r="B4" s="7" t="s">
        <v>3</v>
      </c>
      <c r="C4" s="7"/>
      <c r="D4" s="7"/>
      <c r="E4" s="7"/>
      <c r="F4" s="7"/>
      <c r="G4" s="7"/>
    </row>
    <row r="5" spans="1:7" ht="15.75" customHeight="1" x14ac:dyDescent="0.2">
      <c r="A5" s="10" t="s">
        <v>4</v>
      </c>
      <c r="B5" s="6" t="s">
        <v>5</v>
      </c>
      <c r="C5" s="6"/>
      <c r="D5" s="6"/>
      <c r="E5" s="6"/>
      <c r="F5" s="6"/>
      <c r="G5" s="6"/>
    </row>
    <row r="6" spans="1:7" ht="15.75" customHeight="1" x14ac:dyDescent="0.2">
      <c r="A6" s="10" t="s">
        <v>6</v>
      </c>
      <c r="B6" s="6" t="s">
        <v>7</v>
      </c>
      <c r="C6" s="6"/>
      <c r="D6" s="6"/>
      <c r="E6" s="6"/>
      <c r="F6" s="6"/>
      <c r="G6" s="6"/>
    </row>
    <row r="7" spans="1:7" ht="15.75" customHeight="1" x14ac:dyDescent="0.2">
      <c r="A7" s="10" t="s">
        <v>8</v>
      </c>
      <c r="B7" s="6" t="s">
        <v>149</v>
      </c>
      <c r="C7" s="6"/>
      <c r="D7" s="6"/>
      <c r="E7" s="6"/>
      <c r="F7" s="6"/>
      <c r="G7" s="6"/>
    </row>
    <row r="8" spans="1:7" ht="15.75" customHeight="1" x14ac:dyDescent="0.2">
      <c r="A8" s="11" t="s">
        <v>9</v>
      </c>
      <c r="B8" s="5">
        <v>45920</v>
      </c>
      <c r="C8" s="5"/>
      <c r="D8" s="5"/>
      <c r="E8" s="5"/>
      <c r="F8" s="5"/>
      <c r="G8" s="5"/>
    </row>
    <row r="11" spans="1:7" ht="16.5" customHeight="1" x14ac:dyDescent="0.2">
      <c r="A11" s="26" t="s">
        <v>10</v>
      </c>
      <c r="B11" s="26"/>
      <c r="C11" s="26"/>
      <c r="D11" s="26"/>
      <c r="E11" s="26"/>
      <c r="F11" s="26"/>
    </row>
    <row r="12" spans="1:7" ht="15.75" customHeight="1" x14ac:dyDescent="0.2">
      <c r="A12" s="24" t="s">
        <v>11</v>
      </c>
      <c r="B12" s="24" t="s">
        <v>12</v>
      </c>
      <c r="C12" s="24" t="s">
        <v>13</v>
      </c>
      <c r="D12" s="24" t="s">
        <v>14</v>
      </c>
      <c r="E12" s="24" t="s">
        <v>15</v>
      </c>
      <c r="F12" s="24" t="s">
        <v>16</v>
      </c>
      <c r="G12" s="27" t="s">
        <v>17</v>
      </c>
    </row>
    <row r="13" spans="1:7" x14ac:dyDescent="0.2">
      <c r="A13" s="12" t="s">
        <v>18</v>
      </c>
      <c r="B13" s="13">
        <f>COUNTIF('Diligences Juridique &amp; Foncier'!C:C,"✓ Validé")</f>
        <v>18</v>
      </c>
      <c r="C13" s="13">
        <f>COUNTIF('Diligences Juridique &amp; Foncier'!C:C,"✗ Non validé")</f>
        <v>0</v>
      </c>
      <c r="D13" s="13">
        <f>COUNTIF('Diligences Juridique &amp; Foncier'!C:C,"⊗ Non applicable")</f>
        <v>3</v>
      </c>
      <c r="E13" s="31">
        <f>SUMIF('Diligences Juridique &amp; Foncier'!C:C,"✓ Validé",'Diligences Juridique &amp; Foncier'!E:E)</f>
        <v>72.77000000000001</v>
      </c>
      <c r="F13" s="33">
        <f>IF(SUM('Diligences Juridique &amp; Foncier'!E3:E23)=0,0,ROUND(E13/SUM('Diligences Juridique &amp; Foncier'!E3:E23)*100,2))</f>
        <v>88.5</v>
      </c>
      <c r="G13" s="28">
        <f>SUM('Diligences Juridique &amp; Foncier'!E3:E23)</f>
        <v>82.230000000000018</v>
      </c>
    </row>
    <row r="14" spans="1:7" x14ac:dyDescent="0.2">
      <c r="A14" s="12" t="s">
        <v>19</v>
      </c>
      <c r="B14" s="13">
        <f>COUNTIF('Diligences Technique'!C:C,"✓ Validé")</f>
        <v>21</v>
      </c>
      <c r="C14" s="13">
        <f>COUNTIF('Diligences Technique'!C:C,"✗ Non validé")</f>
        <v>2</v>
      </c>
      <c r="D14" s="13">
        <f>COUNTIF('Diligences Technique'!C:C,"⊗ Non applicable")</f>
        <v>0</v>
      </c>
      <c r="E14" s="31">
        <f>SUMIF('Diligences Technique'!C:C,"✓ Validé",'Diligences Technique'!E:E)</f>
        <v>84.77</v>
      </c>
      <c r="F14" s="33">
        <f>IF(SUM('Diligences Technique'!E3:E25)=0,0,ROUND(E14/SUM('Diligences Technique'!E3:E25)*100,2))</f>
        <v>91.17</v>
      </c>
      <c r="G14" s="28">
        <f>SUM('Diligences Technique'!E3:E25)</f>
        <v>92.97999999999999</v>
      </c>
    </row>
    <row r="15" spans="1:7" x14ac:dyDescent="0.2">
      <c r="A15" s="12" t="s">
        <v>20</v>
      </c>
      <c r="B15" s="13">
        <f>COUNTIF('Diligences Économique'!C:C,"✓ Validé")</f>
        <v>14</v>
      </c>
      <c r="C15" s="13">
        <f>COUNTIF('Diligences Économique'!C:C,"✗ Non validé")</f>
        <v>0</v>
      </c>
      <c r="D15" s="13">
        <f>COUNTIF('Diligences Économique'!C:C,"⊗ Non applicable")</f>
        <v>0</v>
      </c>
      <c r="E15" s="31">
        <f>SUMIF('Diligences Économique'!C:C,"✓ Validé",'Diligences Économique'!E:E)</f>
        <v>59.379999999999995</v>
      </c>
      <c r="F15" s="33">
        <f>IF(SUM('Diligences Économique'!E3:E16)=0,0,ROUND(E15/SUM('Diligences Économique'!E3:E16)*100,2))</f>
        <v>100</v>
      </c>
      <c r="G15" s="28">
        <f>SUM('Diligences Économique'!E3:E16)</f>
        <v>59.379999999999995</v>
      </c>
    </row>
    <row r="16" spans="1:7" x14ac:dyDescent="0.2">
      <c r="E16" s="30"/>
      <c r="F16" s="34"/>
      <c r="G16" s="29"/>
    </row>
    <row r="17" spans="1:7" ht="18.75" customHeight="1" x14ac:dyDescent="0.25">
      <c r="A17" s="25" t="s">
        <v>21</v>
      </c>
      <c r="B17" s="25"/>
      <c r="C17" s="25"/>
      <c r="D17" s="25"/>
      <c r="E17" s="32">
        <f>SUM(E13:E15)</f>
        <v>216.92000000000002</v>
      </c>
      <c r="F17" s="35">
        <f>ROUND(AVERAGE(F13:F15),2)</f>
        <v>93.22</v>
      </c>
      <c r="G17" s="28">
        <f>SUM(G13:G15)</f>
        <v>234.59</v>
      </c>
    </row>
    <row r="18" spans="1:7" x14ac:dyDescent="0.2">
      <c r="G18" s="30"/>
    </row>
    <row r="19" spans="1:7" ht="16.5" customHeight="1" x14ac:dyDescent="0.2">
      <c r="A19" s="4" t="s">
        <v>22</v>
      </c>
      <c r="B19" s="4"/>
      <c r="C19" s="4"/>
      <c r="D19" s="4"/>
      <c r="E19" s="4"/>
      <c r="F19" s="4"/>
      <c r="G19" s="4"/>
    </row>
    <row r="20" spans="1:7" ht="79.5" customHeight="1" x14ac:dyDescent="0.2">
      <c r="A20" s="3" t="str">
        <f>IF(F17&gt;=80,"✅ PROJET SÉCURISÉ - Risques maîtrisés. Acquisition recommandée.",IF(F17&gt;=60,"⚠️ PROJET ACCEPTABLE SOUS RÉSERVES - Négocier régularisations avant signature.",IF(F17&gt;=40,"⚠️ RISQUES SIGNIFICATIFS - Régularisations majeures requises. Ajuster le prix.","❌ PROJET À RISQUE - Risques bloquants majeurs. Acquisition déconseillée.")))</f>
        <v>✅ PROJET SÉCURISÉ - Risques maîtrisés. Acquisition recommandée.</v>
      </c>
      <c r="B20" s="3"/>
      <c r="C20" s="3"/>
      <c r="D20" s="3"/>
      <c r="E20" s="3"/>
      <c r="F20" s="3"/>
      <c r="G20" s="3"/>
    </row>
    <row r="21" spans="1:7" x14ac:dyDescent="0.2">
      <c r="A21" s="3"/>
      <c r="B21" s="3"/>
      <c r="C21" s="3"/>
      <c r="D21" s="3"/>
      <c r="E21" s="3"/>
      <c r="F21" s="3"/>
      <c r="G21" s="3"/>
    </row>
    <row r="22" spans="1:7" x14ac:dyDescent="0.2">
      <c r="A22" s="3"/>
      <c r="B22" s="3"/>
      <c r="C22" s="3"/>
      <c r="D22" s="3"/>
      <c r="E22" s="3"/>
      <c r="F22" s="3"/>
      <c r="G22" s="3"/>
    </row>
    <row r="23" spans="1:7" x14ac:dyDescent="0.2">
      <c r="A23" s="3"/>
      <c r="B23" s="3"/>
      <c r="C23" s="3"/>
      <c r="D23" s="3"/>
      <c r="E23" s="3"/>
      <c r="F23" s="3"/>
      <c r="G23" s="3"/>
    </row>
  </sheetData>
  <mergeCells count="11">
    <mergeCell ref="A20:G23"/>
    <mergeCell ref="B7:G7"/>
    <mergeCell ref="B8:G8"/>
    <mergeCell ref="A11:F11"/>
    <mergeCell ref="A17:D17"/>
    <mergeCell ref="A19:G19"/>
    <mergeCell ref="A1:G1"/>
    <mergeCell ref="A3:G3"/>
    <mergeCell ref="B4:G4"/>
    <mergeCell ref="B5:G5"/>
    <mergeCell ref="B6:G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1"/>
  <sheetViews>
    <sheetView topLeftCell="B1" zoomScale="88" zoomScaleNormal="100" workbookViewId="0">
      <selection activeCell="E18" sqref="E18"/>
    </sheetView>
  </sheetViews>
  <sheetFormatPr baseColWidth="10" defaultColWidth="8.83203125" defaultRowHeight="15" x14ac:dyDescent="0.2"/>
  <cols>
    <col min="1" max="1" width="5" customWidth="1"/>
    <col min="2" max="2" width="65" customWidth="1"/>
    <col min="3" max="4" width="18" customWidth="1"/>
    <col min="5" max="5" width="10" customWidth="1"/>
    <col min="6" max="6" width="45" customWidth="1"/>
  </cols>
  <sheetData>
    <row r="1" spans="1:6" ht="30" customHeight="1" x14ac:dyDescent="0.2">
      <c r="A1" s="2" t="s">
        <v>23</v>
      </c>
      <c r="B1" s="2"/>
      <c r="C1" s="2"/>
      <c r="D1" s="2"/>
      <c r="E1" s="2"/>
      <c r="F1" s="2"/>
    </row>
    <row r="2" spans="1:6" ht="34.5" customHeight="1" x14ac:dyDescent="0.2">
      <c r="A2" s="14" t="s">
        <v>24</v>
      </c>
      <c r="B2" s="14" t="s">
        <v>25</v>
      </c>
      <c r="C2" s="14" t="s">
        <v>26</v>
      </c>
      <c r="D2" s="14" t="s">
        <v>27</v>
      </c>
      <c r="E2" s="14" t="s">
        <v>28</v>
      </c>
      <c r="F2" s="14" t="s">
        <v>29</v>
      </c>
    </row>
    <row r="3" spans="1:6" ht="34.5" customHeight="1" x14ac:dyDescent="0.2">
      <c r="A3" s="15" t="s">
        <v>30</v>
      </c>
      <c r="B3" s="16" t="s">
        <v>31</v>
      </c>
      <c r="C3" s="17" t="s">
        <v>32</v>
      </c>
      <c r="D3" s="18" t="s">
        <v>33</v>
      </c>
      <c r="E3" s="19">
        <v>4.9800000000000004</v>
      </c>
      <c r="F3" s="16" t="s">
        <v>34</v>
      </c>
    </row>
    <row r="4" spans="1:6" ht="34.5" customHeight="1" x14ac:dyDescent="0.2">
      <c r="A4" s="15" t="s">
        <v>35</v>
      </c>
      <c r="B4" s="16" t="s">
        <v>36</v>
      </c>
      <c r="C4" s="17" t="s">
        <v>32</v>
      </c>
      <c r="D4" s="18" t="s">
        <v>33</v>
      </c>
      <c r="E4" s="19">
        <v>4.9800000000000004</v>
      </c>
      <c r="F4" s="16" t="s">
        <v>134</v>
      </c>
    </row>
    <row r="5" spans="1:6" ht="34.5" customHeight="1" x14ac:dyDescent="0.2">
      <c r="A5" s="15" t="s">
        <v>37</v>
      </c>
      <c r="B5" s="16" t="s">
        <v>38</v>
      </c>
      <c r="C5" s="17" t="s">
        <v>32</v>
      </c>
      <c r="D5" s="18" t="s">
        <v>33</v>
      </c>
      <c r="E5" s="19">
        <v>5</v>
      </c>
      <c r="F5" s="16" t="s">
        <v>39</v>
      </c>
    </row>
    <row r="6" spans="1:6" ht="34.5" customHeight="1" x14ac:dyDescent="0.2">
      <c r="A6" s="15" t="s">
        <v>40</v>
      </c>
      <c r="B6" s="16" t="s">
        <v>41</v>
      </c>
      <c r="C6" s="17" t="s">
        <v>32</v>
      </c>
      <c r="D6" s="20" t="s">
        <v>42</v>
      </c>
      <c r="E6" s="19">
        <v>2.99</v>
      </c>
      <c r="F6" s="16" t="s">
        <v>43</v>
      </c>
    </row>
    <row r="7" spans="1:6" ht="34.5" customHeight="1" x14ac:dyDescent="0.2">
      <c r="A7" s="15" t="s">
        <v>88</v>
      </c>
      <c r="B7" s="16" t="s">
        <v>45</v>
      </c>
      <c r="C7" s="17" t="s">
        <v>32</v>
      </c>
      <c r="D7" s="21" t="s">
        <v>46</v>
      </c>
      <c r="E7" s="19">
        <v>1.49</v>
      </c>
      <c r="F7" s="16" t="s">
        <v>47</v>
      </c>
    </row>
    <row r="8" spans="1:6" ht="34.5" customHeight="1" x14ac:dyDescent="0.2">
      <c r="A8" s="15" t="s">
        <v>44</v>
      </c>
      <c r="B8" s="16" t="s">
        <v>49</v>
      </c>
      <c r="C8" s="17" t="s">
        <v>32</v>
      </c>
      <c r="D8" s="18" t="s">
        <v>33</v>
      </c>
      <c r="E8" s="19">
        <v>4.9800000000000004</v>
      </c>
      <c r="F8" s="16" t="s">
        <v>143</v>
      </c>
    </row>
    <row r="9" spans="1:6" ht="34.5" customHeight="1" x14ac:dyDescent="0.2">
      <c r="A9" s="15" t="s">
        <v>91</v>
      </c>
      <c r="B9" s="16" t="s">
        <v>52</v>
      </c>
      <c r="C9" s="17" t="s">
        <v>32</v>
      </c>
      <c r="D9" s="18" t="s">
        <v>33</v>
      </c>
      <c r="E9" s="19">
        <v>4.9800000000000004</v>
      </c>
      <c r="F9" s="16" t="s">
        <v>143</v>
      </c>
    </row>
    <row r="10" spans="1:6" ht="34.5" customHeight="1" x14ac:dyDescent="0.2">
      <c r="A10" s="15" t="s">
        <v>48</v>
      </c>
      <c r="B10" s="16" t="s">
        <v>54</v>
      </c>
      <c r="C10" s="17" t="s">
        <v>32</v>
      </c>
      <c r="D10" s="21" t="s">
        <v>46</v>
      </c>
      <c r="E10" s="19">
        <v>4.4800000000000004</v>
      </c>
      <c r="F10" s="16" t="s">
        <v>141</v>
      </c>
    </row>
    <row r="11" spans="1:6" ht="34.5" customHeight="1" x14ac:dyDescent="0.2">
      <c r="A11" s="15" t="s">
        <v>51</v>
      </c>
      <c r="B11" s="16" t="s">
        <v>56</v>
      </c>
      <c r="C11" s="17" t="s">
        <v>32</v>
      </c>
      <c r="D11" s="20" t="s">
        <v>42</v>
      </c>
      <c r="E11" s="19">
        <v>2.4900000000000002</v>
      </c>
      <c r="F11" s="16" t="s">
        <v>142</v>
      </c>
    </row>
    <row r="12" spans="1:6" ht="34.5" customHeight="1" x14ac:dyDescent="0.2">
      <c r="A12" s="15" t="s">
        <v>53</v>
      </c>
      <c r="B12" s="16" t="s">
        <v>58</v>
      </c>
      <c r="C12" s="17" t="s">
        <v>32</v>
      </c>
      <c r="D12" s="18" t="s">
        <v>33</v>
      </c>
      <c r="E12" s="19">
        <v>4.9800000000000004</v>
      </c>
      <c r="F12" s="16" t="s">
        <v>59</v>
      </c>
    </row>
    <row r="13" spans="1:6" ht="34.5" customHeight="1" x14ac:dyDescent="0.2">
      <c r="A13" s="15" t="s">
        <v>55</v>
      </c>
      <c r="B13" s="16" t="s">
        <v>61</v>
      </c>
      <c r="C13" s="17" t="s">
        <v>64</v>
      </c>
      <c r="D13" s="18" t="s">
        <v>33</v>
      </c>
      <c r="E13" s="19">
        <v>4.9800000000000004</v>
      </c>
      <c r="F13" s="16" t="s">
        <v>140</v>
      </c>
    </row>
    <row r="14" spans="1:6" ht="34.5" customHeight="1" x14ac:dyDescent="0.2">
      <c r="A14" s="15" t="s">
        <v>57</v>
      </c>
      <c r="B14" s="16" t="s">
        <v>63</v>
      </c>
      <c r="C14" s="17" t="s">
        <v>64</v>
      </c>
      <c r="D14" s="21" t="s">
        <v>46</v>
      </c>
      <c r="E14" s="19">
        <v>1.99</v>
      </c>
      <c r="F14" s="16" t="s">
        <v>139</v>
      </c>
    </row>
    <row r="15" spans="1:6" ht="34.5" customHeight="1" x14ac:dyDescent="0.2">
      <c r="A15" s="15" t="s">
        <v>60</v>
      </c>
      <c r="B15" s="16" t="s">
        <v>66</v>
      </c>
      <c r="C15" s="17" t="s">
        <v>64</v>
      </c>
      <c r="D15" s="20" t="s">
        <v>42</v>
      </c>
      <c r="E15" s="19">
        <v>2.4900000000000002</v>
      </c>
      <c r="F15" s="16" t="s">
        <v>14</v>
      </c>
    </row>
    <row r="16" spans="1:6" ht="34.5" customHeight="1" x14ac:dyDescent="0.2">
      <c r="A16" s="15" t="s">
        <v>62</v>
      </c>
      <c r="B16" s="16" t="s">
        <v>68</v>
      </c>
      <c r="C16" s="17" t="s">
        <v>32</v>
      </c>
      <c r="D16" s="20" t="s">
        <v>42</v>
      </c>
      <c r="E16" s="19">
        <v>2.99</v>
      </c>
      <c r="F16" s="16" t="s">
        <v>43</v>
      </c>
    </row>
    <row r="17" spans="1:6" ht="34.5" customHeight="1" x14ac:dyDescent="0.2">
      <c r="A17" s="15" t="s">
        <v>65</v>
      </c>
      <c r="B17" s="16" t="s">
        <v>70</v>
      </c>
      <c r="C17" s="17" t="s">
        <v>32</v>
      </c>
      <c r="D17" s="18" t="s">
        <v>33</v>
      </c>
      <c r="E17" s="19">
        <v>5</v>
      </c>
      <c r="F17" s="16" t="s">
        <v>43</v>
      </c>
    </row>
    <row r="18" spans="1:6" ht="34.5" customHeight="1" x14ac:dyDescent="0.2">
      <c r="A18" s="15" t="s">
        <v>67</v>
      </c>
      <c r="B18" s="16" t="s">
        <v>72</v>
      </c>
      <c r="C18" s="17" t="s">
        <v>32</v>
      </c>
      <c r="D18" s="20" t="s">
        <v>42</v>
      </c>
      <c r="E18" s="19">
        <v>2.99</v>
      </c>
      <c r="F18" s="16" t="s">
        <v>143</v>
      </c>
    </row>
    <row r="19" spans="1:6" ht="34.5" customHeight="1" x14ac:dyDescent="0.2">
      <c r="A19" s="15" t="s">
        <v>105</v>
      </c>
      <c r="B19" s="16" t="s">
        <v>74</v>
      </c>
      <c r="C19" s="17" t="s">
        <v>32</v>
      </c>
      <c r="D19" s="18" t="s">
        <v>33</v>
      </c>
      <c r="E19" s="19">
        <v>5</v>
      </c>
      <c r="F19" s="16" t="s">
        <v>144</v>
      </c>
    </row>
    <row r="20" spans="1:6" ht="34.5" customHeight="1" x14ac:dyDescent="0.2">
      <c r="A20" s="15" t="s">
        <v>69</v>
      </c>
      <c r="B20" s="16" t="s">
        <v>76</v>
      </c>
      <c r="C20" s="17" t="s">
        <v>32</v>
      </c>
      <c r="D20" s="18" t="s">
        <v>33</v>
      </c>
      <c r="E20" s="19">
        <v>4.9800000000000004</v>
      </c>
      <c r="F20" s="16" t="s">
        <v>143</v>
      </c>
    </row>
    <row r="21" spans="1:6" ht="34.5" customHeight="1" x14ac:dyDescent="0.2">
      <c r="A21" s="15" t="s">
        <v>71</v>
      </c>
      <c r="B21" s="16" t="s">
        <v>78</v>
      </c>
      <c r="C21" s="17" t="s">
        <v>32</v>
      </c>
      <c r="D21" s="18" t="s">
        <v>33</v>
      </c>
      <c r="E21" s="19">
        <v>4.9800000000000004</v>
      </c>
      <c r="F21" s="16" t="s">
        <v>43</v>
      </c>
    </row>
    <row r="22" spans="1:6" ht="34.5" customHeight="1" x14ac:dyDescent="0.2">
      <c r="A22" s="15" t="s">
        <v>73</v>
      </c>
      <c r="B22" s="16" t="s">
        <v>79</v>
      </c>
      <c r="C22" s="17" t="s">
        <v>32</v>
      </c>
      <c r="D22" s="20" t="s">
        <v>42</v>
      </c>
      <c r="E22" s="19">
        <v>2.99</v>
      </c>
      <c r="F22" s="16" t="s">
        <v>143</v>
      </c>
    </row>
    <row r="23" spans="1:6" ht="34.5" customHeight="1" x14ac:dyDescent="0.2">
      <c r="A23" s="15" t="s">
        <v>112</v>
      </c>
      <c r="B23" s="16" t="s">
        <v>80</v>
      </c>
      <c r="C23" s="17" t="s">
        <v>32</v>
      </c>
      <c r="D23" s="21" t="s">
        <v>46</v>
      </c>
      <c r="E23" s="19">
        <v>2.4900000000000002</v>
      </c>
      <c r="F23" s="16" t="s">
        <v>81</v>
      </c>
    </row>
    <row r="26" spans="1:6" ht="18.75" customHeight="1" x14ac:dyDescent="0.25">
      <c r="A26" s="1" t="s">
        <v>82</v>
      </c>
      <c r="B26" s="1"/>
      <c r="C26" s="1"/>
      <c r="D26" s="1"/>
      <c r="E26" s="1"/>
      <c r="F26" s="1"/>
    </row>
    <row r="27" spans="1:6" x14ac:dyDescent="0.2">
      <c r="A27" s="22" t="s">
        <v>145</v>
      </c>
      <c r="B27" s="22"/>
      <c r="C27" s="22"/>
      <c r="D27" s="22"/>
      <c r="E27" s="22"/>
      <c r="F27" s="22"/>
    </row>
    <row r="28" spans="1:6" x14ac:dyDescent="0.2">
      <c r="A28" s="22"/>
      <c r="B28" s="22"/>
      <c r="C28" s="22"/>
      <c r="D28" s="22"/>
      <c r="E28" s="22"/>
      <c r="F28" s="22"/>
    </row>
    <row r="29" spans="1:6" x14ac:dyDescent="0.2">
      <c r="A29" s="22"/>
      <c r="B29" s="22"/>
      <c r="C29" s="22"/>
      <c r="D29" s="22"/>
      <c r="E29" s="22"/>
      <c r="F29" s="22"/>
    </row>
    <row r="30" spans="1:6" x14ac:dyDescent="0.2">
      <c r="A30" s="22"/>
      <c r="B30" s="22"/>
      <c r="C30" s="22"/>
      <c r="D30" s="22"/>
      <c r="E30" s="22"/>
      <c r="F30" s="22"/>
    </row>
    <row r="31" spans="1:6" x14ac:dyDescent="0.2">
      <c r="A31" s="22"/>
      <c r="B31" s="22"/>
      <c r="C31" s="22"/>
      <c r="D31" s="22"/>
      <c r="E31" s="22"/>
      <c r="F31" s="22"/>
    </row>
  </sheetData>
  <mergeCells count="3">
    <mergeCell ref="A1:F1"/>
    <mergeCell ref="A26:F26"/>
    <mergeCell ref="A27:F31"/>
  </mergeCells>
  <phoneticPr fontId="11" type="noConversion"/>
  <conditionalFormatting sqref="C3:C23">
    <cfRule type="expression" dxfId="8" priority="2">
      <formula>$C3="✓ Validé"</formula>
    </cfRule>
    <cfRule type="expression" dxfId="7" priority="3">
      <formula>$C3="✗ Non validé"</formula>
    </cfRule>
    <cfRule type="expression" dxfId="6" priority="4">
      <formula>$C3="⊗ Non applicable"</formula>
    </cfRule>
  </conditionalFormatting>
  <dataValidations count="1">
    <dataValidation type="list" promptTitle="Statut de contrôle" prompt="Sélectionnez le statut" sqref="C3:C23" xr:uid="{00000000-0002-0000-0100-000000000000}">
      <formula1>"✓ Validé,✗ Non validé,⊗ Non applicable"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3"/>
  <sheetViews>
    <sheetView topLeftCell="A3" zoomScale="80" zoomScaleNormal="125" zoomScaleSheetLayoutView="50" workbookViewId="0">
      <selection activeCell="E3" sqref="E3"/>
    </sheetView>
  </sheetViews>
  <sheetFormatPr baseColWidth="10" defaultColWidth="8.83203125" defaultRowHeight="15" x14ac:dyDescent="0.2"/>
  <cols>
    <col min="1" max="1" width="5" customWidth="1"/>
    <col min="2" max="2" width="65" customWidth="1"/>
    <col min="3" max="4" width="18" customWidth="1"/>
    <col min="5" max="5" width="10" customWidth="1"/>
    <col min="6" max="6" width="45" customWidth="1"/>
  </cols>
  <sheetData>
    <row r="1" spans="1:6" ht="30" customHeight="1" x14ac:dyDescent="0.2">
      <c r="A1" s="2" t="s">
        <v>83</v>
      </c>
      <c r="B1" s="2"/>
      <c r="C1" s="2"/>
      <c r="D1" s="2"/>
      <c r="E1" s="2"/>
      <c r="F1" s="2"/>
    </row>
    <row r="2" spans="1:6" ht="34.5" customHeight="1" x14ac:dyDescent="0.2">
      <c r="A2" s="14" t="s">
        <v>24</v>
      </c>
      <c r="B2" s="14" t="s">
        <v>25</v>
      </c>
      <c r="C2" s="14" t="s">
        <v>26</v>
      </c>
      <c r="D2" s="14" t="s">
        <v>27</v>
      </c>
      <c r="E2" s="14" t="s">
        <v>28</v>
      </c>
      <c r="F2" s="14" t="s">
        <v>29</v>
      </c>
    </row>
    <row r="3" spans="1:6" ht="34.5" customHeight="1" x14ac:dyDescent="0.2">
      <c r="A3" s="15" t="s">
        <v>30</v>
      </c>
      <c r="B3" s="16" t="s">
        <v>84</v>
      </c>
      <c r="C3" s="17" t="s">
        <v>32</v>
      </c>
      <c r="D3" s="18" t="s">
        <v>33</v>
      </c>
      <c r="E3" s="19">
        <v>5</v>
      </c>
      <c r="F3" s="16" t="s">
        <v>50</v>
      </c>
    </row>
    <row r="4" spans="1:6" ht="34.5" customHeight="1" x14ac:dyDescent="0.2">
      <c r="A4" s="15" t="s">
        <v>35</v>
      </c>
      <c r="B4" s="16" t="s">
        <v>85</v>
      </c>
      <c r="C4" s="17" t="s">
        <v>32</v>
      </c>
      <c r="D4" s="18" t="s">
        <v>33</v>
      </c>
      <c r="E4" s="19">
        <v>5</v>
      </c>
      <c r="F4" s="16" t="s">
        <v>43</v>
      </c>
    </row>
    <row r="5" spans="1:6" ht="34.5" customHeight="1" x14ac:dyDescent="0.2">
      <c r="A5" s="15" t="s">
        <v>37</v>
      </c>
      <c r="B5" s="16" t="s">
        <v>86</v>
      </c>
      <c r="C5" s="17" t="s">
        <v>32</v>
      </c>
      <c r="D5" s="20" t="s">
        <v>42</v>
      </c>
      <c r="E5" s="19">
        <v>4.79</v>
      </c>
      <c r="F5" s="16" t="s">
        <v>43</v>
      </c>
    </row>
    <row r="6" spans="1:6" ht="34.5" customHeight="1" x14ac:dyDescent="0.2">
      <c r="A6" s="15" t="s">
        <v>40</v>
      </c>
      <c r="B6" s="16" t="s">
        <v>87</v>
      </c>
      <c r="C6" s="17" t="s">
        <v>32</v>
      </c>
      <c r="D6" s="20" t="s">
        <v>42</v>
      </c>
      <c r="E6" s="19">
        <v>4.1100000000000003</v>
      </c>
      <c r="F6" s="16" t="s">
        <v>43</v>
      </c>
    </row>
    <row r="7" spans="1:6" ht="34.5" customHeight="1" x14ac:dyDescent="0.2">
      <c r="A7" s="15" t="s">
        <v>88</v>
      </c>
      <c r="B7" s="16" t="s">
        <v>89</v>
      </c>
      <c r="C7" s="17" t="s">
        <v>32</v>
      </c>
      <c r="D7" s="20" t="s">
        <v>42</v>
      </c>
      <c r="E7" s="19">
        <v>4.79</v>
      </c>
      <c r="F7" s="16" t="s">
        <v>43</v>
      </c>
    </row>
    <row r="8" spans="1:6" ht="34.5" customHeight="1" x14ac:dyDescent="0.2">
      <c r="A8" s="15" t="s">
        <v>44</v>
      </c>
      <c r="B8" s="16" t="s">
        <v>90</v>
      </c>
      <c r="C8" s="17" t="s">
        <v>32</v>
      </c>
      <c r="D8" s="21" t="s">
        <v>46</v>
      </c>
      <c r="E8" s="19">
        <v>2.74</v>
      </c>
      <c r="F8" s="16" t="s">
        <v>43</v>
      </c>
    </row>
    <row r="9" spans="1:6" ht="34.5" customHeight="1" x14ac:dyDescent="0.2">
      <c r="A9" s="15" t="s">
        <v>91</v>
      </c>
      <c r="B9" s="16" t="s">
        <v>92</v>
      </c>
      <c r="C9" s="17" t="s">
        <v>32</v>
      </c>
      <c r="D9" s="18" t="s">
        <v>33</v>
      </c>
      <c r="E9" s="19">
        <v>5</v>
      </c>
      <c r="F9" s="16" t="s">
        <v>43</v>
      </c>
    </row>
    <row r="10" spans="1:6" ht="34.5" customHeight="1" x14ac:dyDescent="0.2">
      <c r="A10" s="15" t="s">
        <v>48</v>
      </c>
      <c r="B10" s="16" t="s">
        <v>93</v>
      </c>
      <c r="C10" s="17" t="s">
        <v>94</v>
      </c>
      <c r="D10" s="20" t="s">
        <v>42</v>
      </c>
      <c r="E10" s="19">
        <v>4.79</v>
      </c>
      <c r="F10" s="16" t="s">
        <v>95</v>
      </c>
    </row>
    <row r="11" spans="1:6" ht="34.5" customHeight="1" x14ac:dyDescent="0.2">
      <c r="A11" s="15" t="s">
        <v>51</v>
      </c>
      <c r="B11" s="16" t="s">
        <v>96</v>
      </c>
      <c r="C11" s="17" t="s">
        <v>32</v>
      </c>
      <c r="D11" s="18" t="s">
        <v>33</v>
      </c>
      <c r="E11" s="19">
        <v>5</v>
      </c>
      <c r="F11" s="16" t="s">
        <v>43</v>
      </c>
    </row>
    <row r="12" spans="1:6" ht="34.5" customHeight="1" x14ac:dyDescent="0.2">
      <c r="A12" s="15" t="s">
        <v>53</v>
      </c>
      <c r="B12" s="16" t="s">
        <v>97</v>
      </c>
      <c r="C12" s="17" t="s">
        <v>32</v>
      </c>
      <c r="D12" s="21" t="s">
        <v>46</v>
      </c>
      <c r="E12" s="19">
        <v>3.42</v>
      </c>
      <c r="F12" s="16" t="s">
        <v>98</v>
      </c>
    </row>
    <row r="13" spans="1:6" ht="34.5" customHeight="1" x14ac:dyDescent="0.2">
      <c r="A13" s="15" t="s">
        <v>55</v>
      </c>
      <c r="B13" s="16" t="s">
        <v>99</v>
      </c>
      <c r="C13" s="17" t="s">
        <v>32</v>
      </c>
      <c r="D13" s="20" t="s">
        <v>42</v>
      </c>
      <c r="E13" s="19">
        <v>4.1100000000000003</v>
      </c>
      <c r="F13" s="16" t="s">
        <v>43</v>
      </c>
    </row>
    <row r="14" spans="1:6" ht="34.5" customHeight="1" x14ac:dyDescent="0.2">
      <c r="A14" s="15" t="s">
        <v>57</v>
      </c>
      <c r="B14" s="16" t="s">
        <v>100</v>
      </c>
      <c r="C14" s="17" t="s">
        <v>32</v>
      </c>
      <c r="D14" s="21" t="s">
        <v>46</v>
      </c>
      <c r="E14" s="19">
        <v>2.74</v>
      </c>
      <c r="F14" s="16" t="s">
        <v>43</v>
      </c>
    </row>
    <row r="15" spans="1:6" ht="34.5" customHeight="1" x14ac:dyDescent="0.2">
      <c r="A15" s="15" t="s">
        <v>60</v>
      </c>
      <c r="B15" s="16" t="s">
        <v>101</v>
      </c>
      <c r="C15" s="17" t="s">
        <v>32</v>
      </c>
      <c r="D15" s="18" t="s">
        <v>33</v>
      </c>
      <c r="E15" s="19">
        <v>5</v>
      </c>
      <c r="F15" s="16" t="s">
        <v>43</v>
      </c>
    </row>
    <row r="16" spans="1:6" ht="34.5" customHeight="1" x14ac:dyDescent="0.2">
      <c r="A16" s="15" t="s">
        <v>62</v>
      </c>
      <c r="B16" s="16" t="s">
        <v>102</v>
      </c>
      <c r="C16" s="17" t="s">
        <v>32</v>
      </c>
      <c r="D16" s="18" t="s">
        <v>33</v>
      </c>
      <c r="E16" s="19">
        <v>5</v>
      </c>
      <c r="F16" s="16" t="s">
        <v>43</v>
      </c>
    </row>
    <row r="17" spans="1:6" ht="34.5" customHeight="1" x14ac:dyDescent="0.2">
      <c r="A17" s="15" t="s">
        <v>65</v>
      </c>
      <c r="B17" s="16" t="s">
        <v>103</v>
      </c>
      <c r="C17" s="17" t="s">
        <v>32</v>
      </c>
      <c r="D17" s="21" t="s">
        <v>46</v>
      </c>
      <c r="E17" s="19">
        <v>5.48</v>
      </c>
      <c r="F17" s="16" t="s">
        <v>43</v>
      </c>
    </row>
    <row r="18" spans="1:6" ht="34.5" customHeight="1" x14ac:dyDescent="0.2">
      <c r="A18" s="15" t="s">
        <v>67</v>
      </c>
      <c r="B18" s="16" t="s">
        <v>104</v>
      </c>
      <c r="C18" s="17" t="s">
        <v>94</v>
      </c>
      <c r="D18" s="21" t="s">
        <v>46</v>
      </c>
      <c r="E18" s="19">
        <v>3.42</v>
      </c>
      <c r="F18" s="16" t="s">
        <v>50</v>
      </c>
    </row>
    <row r="19" spans="1:6" ht="34.5" customHeight="1" x14ac:dyDescent="0.2">
      <c r="A19" s="15" t="s">
        <v>105</v>
      </c>
      <c r="B19" s="16" t="s">
        <v>106</v>
      </c>
      <c r="C19" s="17" t="s">
        <v>32</v>
      </c>
      <c r="D19" s="18" t="s">
        <v>33</v>
      </c>
      <c r="E19" s="19">
        <v>5.48</v>
      </c>
      <c r="F19" s="16" t="s">
        <v>43</v>
      </c>
    </row>
    <row r="20" spans="1:6" ht="34.5" customHeight="1" x14ac:dyDescent="0.2">
      <c r="A20" s="15" t="s">
        <v>69</v>
      </c>
      <c r="B20" s="16" t="s">
        <v>107</v>
      </c>
      <c r="C20" s="17" t="s">
        <v>32</v>
      </c>
      <c r="D20" s="21" t="s">
        <v>46</v>
      </c>
      <c r="E20" s="19">
        <v>2.74</v>
      </c>
      <c r="F20" s="16" t="s">
        <v>108</v>
      </c>
    </row>
    <row r="21" spans="1:6" ht="34.5" customHeight="1" x14ac:dyDescent="0.2">
      <c r="A21" s="15" t="s">
        <v>71</v>
      </c>
      <c r="B21" s="16" t="s">
        <v>109</v>
      </c>
      <c r="C21" s="17" t="s">
        <v>32</v>
      </c>
      <c r="D21" s="21" t="s">
        <v>46</v>
      </c>
      <c r="E21" s="19">
        <v>2.0499999999999998</v>
      </c>
      <c r="F21" s="16" t="s">
        <v>110</v>
      </c>
    </row>
    <row r="22" spans="1:6" ht="34.5" customHeight="1" x14ac:dyDescent="0.2">
      <c r="A22" s="15" t="s">
        <v>73</v>
      </c>
      <c r="B22" s="16" t="s">
        <v>111</v>
      </c>
      <c r="C22" s="17" t="s">
        <v>32</v>
      </c>
      <c r="D22" s="20" t="s">
        <v>42</v>
      </c>
      <c r="E22" s="19">
        <v>3.42</v>
      </c>
      <c r="F22" s="16" t="s">
        <v>43</v>
      </c>
    </row>
    <row r="23" spans="1:6" ht="34.5" customHeight="1" x14ac:dyDescent="0.2">
      <c r="A23" s="15" t="s">
        <v>112</v>
      </c>
      <c r="B23" s="16" t="s">
        <v>113</v>
      </c>
      <c r="C23" s="17" t="s">
        <v>32</v>
      </c>
      <c r="D23" s="21" t="s">
        <v>46</v>
      </c>
      <c r="E23" s="19">
        <v>2.74</v>
      </c>
      <c r="F23" s="16" t="s">
        <v>43</v>
      </c>
    </row>
    <row r="24" spans="1:6" ht="34.5" customHeight="1" x14ac:dyDescent="0.2">
      <c r="A24" s="15" t="s">
        <v>75</v>
      </c>
      <c r="B24" s="16" t="s">
        <v>114</v>
      </c>
      <c r="C24" s="17" t="s">
        <v>32</v>
      </c>
      <c r="D24" s="20" t="s">
        <v>42</v>
      </c>
      <c r="E24" s="19">
        <v>4.1100000000000003</v>
      </c>
      <c r="F24" s="16" t="s">
        <v>43</v>
      </c>
    </row>
    <row r="25" spans="1:6" ht="34.5" customHeight="1" x14ac:dyDescent="0.2">
      <c r="A25" s="15" t="s">
        <v>77</v>
      </c>
      <c r="B25" s="16" t="s">
        <v>115</v>
      </c>
      <c r="C25" s="17" t="s">
        <v>32</v>
      </c>
      <c r="D25" s="21" t="s">
        <v>46</v>
      </c>
      <c r="E25" s="19">
        <v>2.0499999999999998</v>
      </c>
      <c r="F25" s="16" t="s">
        <v>43</v>
      </c>
    </row>
    <row r="28" spans="1:6" ht="18.75" customHeight="1" x14ac:dyDescent="0.25">
      <c r="A28" s="1" t="s">
        <v>82</v>
      </c>
      <c r="B28" s="1"/>
      <c r="C28" s="1"/>
      <c r="D28" s="1"/>
      <c r="E28" s="1"/>
      <c r="F28" s="1"/>
    </row>
    <row r="29" spans="1:6" x14ac:dyDescent="0.2">
      <c r="A29" s="22" t="s">
        <v>146</v>
      </c>
      <c r="B29" s="22"/>
      <c r="C29" s="22"/>
      <c r="D29" s="22"/>
      <c r="E29" s="22"/>
      <c r="F29" s="22"/>
    </row>
    <row r="30" spans="1:6" x14ac:dyDescent="0.2">
      <c r="A30" s="22"/>
      <c r="B30" s="22"/>
      <c r="C30" s="22"/>
      <c r="D30" s="22"/>
      <c r="E30" s="22"/>
      <c r="F30" s="22"/>
    </row>
    <row r="31" spans="1:6" x14ac:dyDescent="0.2">
      <c r="A31" s="22"/>
      <c r="B31" s="22"/>
      <c r="C31" s="22"/>
      <c r="D31" s="22"/>
      <c r="E31" s="22"/>
      <c r="F31" s="22"/>
    </row>
    <row r="32" spans="1:6" x14ac:dyDescent="0.2">
      <c r="A32" s="22"/>
      <c r="B32" s="22"/>
      <c r="C32" s="22"/>
      <c r="D32" s="22"/>
      <c r="E32" s="22"/>
      <c r="F32" s="22"/>
    </row>
    <row r="33" spans="1:6" x14ac:dyDescent="0.2">
      <c r="A33" s="22"/>
      <c r="B33" s="22"/>
      <c r="C33" s="22"/>
      <c r="D33" s="22"/>
      <c r="E33" s="22"/>
      <c r="F33" s="22"/>
    </row>
  </sheetData>
  <mergeCells count="3">
    <mergeCell ref="A1:F1"/>
    <mergeCell ref="A28:F28"/>
    <mergeCell ref="A29:F33"/>
  </mergeCells>
  <phoneticPr fontId="11" type="noConversion"/>
  <conditionalFormatting sqref="C3:C25">
    <cfRule type="expression" dxfId="5" priority="2">
      <formula>$C3="✓ Validé"</formula>
    </cfRule>
    <cfRule type="expression" dxfId="4" priority="3">
      <formula>$C3="✗ Non validé"</formula>
    </cfRule>
    <cfRule type="expression" dxfId="3" priority="4">
      <formula>$C3="⊗ Non applicable"</formula>
    </cfRule>
  </conditionalFormatting>
  <dataValidations count="1">
    <dataValidation type="list" promptTitle="Statut de contrôle" prompt="Sélectionnez le statut" sqref="C3:C25" xr:uid="{00000000-0002-0000-0200-000000000000}">
      <formula1>"✓ Validé,✗ Non validé,⊗ Non applicable"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5"/>
  <sheetViews>
    <sheetView zoomScaleNormal="100" workbookViewId="0">
      <selection activeCell="E7" sqref="E7"/>
    </sheetView>
  </sheetViews>
  <sheetFormatPr baseColWidth="10" defaultColWidth="8.83203125" defaultRowHeight="15" x14ac:dyDescent="0.2"/>
  <cols>
    <col min="1" max="1" width="5" customWidth="1"/>
    <col min="2" max="2" width="65" customWidth="1"/>
    <col min="3" max="4" width="18" customWidth="1"/>
    <col min="5" max="5" width="10" customWidth="1"/>
    <col min="6" max="6" width="45" customWidth="1"/>
  </cols>
  <sheetData>
    <row r="1" spans="1:6" ht="30" customHeight="1" x14ac:dyDescent="0.2">
      <c r="A1" s="2" t="s">
        <v>116</v>
      </c>
      <c r="B1" s="2"/>
      <c r="C1" s="2"/>
      <c r="D1" s="2"/>
      <c r="E1" s="2"/>
      <c r="F1" s="2"/>
    </row>
    <row r="2" spans="1:6" ht="34.5" customHeight="1" x14ac:dyDescent="0.2">
      <c r="A2" s="14" t="s">
        <v>24</v>
      </c>
      <c r="B2" s="14" t="s">
        <v>25</v>
      </c>
      <c r="C2" s="14" t="s">
        <v>26</v>
      </c>
      <c r="D2" s="14" t="s">
        <v>27</v>
      </c>
      <c r="E2" s="14" t="s">
        <v>28</v>
      </c>
      <c r="F2" s="14" t="s">
        <v>29</v>
      </c>
    </row>
    <row r="3" spans="1:6" ht="34.5" customHeight="1" x14ac:dyDescent="0.2">
      <c r="A3" s="15" t="s">
        <v>30</v>
      </c>
      <c r="B3" s="16" t="s">
        <v>117</v>
      </c>
      <c r="C3" s="17" t="s">
        <v>32</v>
      </c>
      <c r="D3" s="21" t="s">
        <v>46</v>
      </c>
      <c r="E3" s="19">
        <v>3.82</v>
      </c>
      <c r="F3" s="16" t="s">
        <v>118</v>
      </c>
    </row>
    <row r="4" spans="1:6" ht="34.5" customHeight="1" x14ac:dyDescent="0.2">
      <c r="A4" s="15" t="s">
        <v>35</v>
      </c>
      <c r="B4" s="16" t="s">
        <v>119</v>
      </c>
      <c r="C4" s="17" t="s">
        <v>32</v>
      </c>
      <c r="D4" s="21" t="s">
        <v>46</v>
      </c>
      <c r="E4" s="19">
        <v>3.82</v>
      </c>
      <c r="F4" s="16" t="s">
        <v>120</v>
      </c>
    </row>
    <row r="5" spans="1:6" ht="34.5" customHeight="1" x14ac:dyDescent="0.2">
      <c r="A5" s="15" t="s">
        <v>37</v>
      </c>
      <c r="B5" s="16" t="s">
        <v>121</v>
      </c>
      <c r="C5" s="17" t="s">
        <v>32</v>
      </c>
      <c r="D5" s="20" t="s">
        <v>42</v>
      </c>
      <c r="E5" s="19">
        <v>4.58</v>
      </c>
      <c r="F5" s="16" t="s">
        <v>122</v>
      </c>
    </row>
    <row r="6" spans="1:6" ht="34.5" customHeight="1" x14ac:dyDescent="0.2">
      <c r="A6" s="15" t="s">
        <v>40</v>
      </c>
      <c r="B6" s="16" t="s">
        <v>123</v>
      </c>
      <c r="C6" s="17" t="s">
        <v>32</v>
      </c>
      <c r="D6" s="20" t="s">
        <v>42</v>
      </c>
      <c r="E6" s="19">
        <v>4.58</v>
      </c>
      <c r="F6" s="16" t="s">
        <v>43</v>
      </c>
    </row>
    <row r="7" spans="1:6" ht="34.5" customHeight="1" x14ac:dyDescent="0.2">
      <c r="A7" s="15" t="s">
        <v>88</v>
      </c>
      <c r="B7" s="16" t="s">
        <v>124</v>
      </c>
      <c r="C7" s="17" t="s">
        <v>32</v>
      </c>
      <c r="D7" s="21" t="s">
        <v>46</v>
      </c>
      <c r="E7" s="19">
        <v>3.05</v>
      </c>
      <c r="F7" s="16" t="s">
        <v>125</v>
      </c>
    </row>
    <row r="8" spans="1:6" ht="34.5" customHeight="1" x14ac:dyDescent="0.2">
      <c r="A8" s="15" t="s">
        <v>44</v>
      </c>
      <c r="B8" s="16" t="s">
        <v>126</v>
      </c>
      <c r="C8" s="17" t="s">
        <v>32</v>
      </c>
      <c r="D8" s="18" t="s">
        <v>33</v>
      </c>
      <c r="E8" s="19">
        <v>5</v>
      </c>
      <c r="F8" s="16" t="s">
        <v>127</v>
      </c>
    </row>
    <row r="9" spans="1:6" ht="34.5" customHeight="1" x14ac:dyDescent="0.2">
      <c r="A9" s="15" t="s">
        <v>91</v>
      </c>
      <c r="B9" s="16" t="s">
        <v>128</v>
      </c>
      <c r="C9" s="17" t="s">
        <v>32</v>
      </c>
      <c r="D9" s="20" t="s">
        <v>42</v>
      </c>
      <c r="E9" s="19">
        <v>4.58</v>
      </c>
      <c r="F9" s="16" t="s">
        <v>147</v>
      </c>
    </row>
    <row r="10" spans="1:6" ht="34.5" customHeight="1" x14ac:dyDescent="0.2">
      <c r="A10" s="15" t="s">
        <v>48</v>
      </c>
      <c r="B10" s="16" t="s">
        <v>129</v>
      </c>
      <c r="C10" s="17" t="s">
        <v>32</v>
      </c>
      <c r="D10" s="21" t="s">
        <v>46</v>
      </c>
      <c r="E10" s="19">
        <v>2.29</v>
      </c>
      <c r="F10" s="16" t="s">
        <v>43</v>
      </c>
    </row>
    <row r="11" spans="1:6" ht="34.5" customHeight="1" x14ac:dyDescent="0.2">
      <c r="A11" s="15" t="s">
        <v>51</v>
      </c>
      <c r="B11" s="16" t="s">
        <v>130</v>
      </c>
      <c r="C11" s="17" t="s">
        <v>32</v>
      </c>
      <c r="D11" s="20" t="s">
        <v>42</v>
      </c>
      <c r="E11" s="19">
        <v>4.58</v>
      </c>
      <c r="F11" s="16" t="s">
        <v>50</v>
      </c>
    </row>
    <row r="12" spans="1:6" ht="34.5" customHeight="1" x14ac:dyDescent="0.2">
      <c r="A12" s="15" t="s">
        <v>53</v>
      </c>
      <c r="B12" s="16" t="s">
        <v>131</v>
      </c>
      <c r="C12" s="17" t="s">
        <v>32</v>
      </c>
      <c r="D12" s="21" t="s">
        <v>46</v>
      </c>
      <c r="E12" s="19">
        <v>3.82</v>
      </c>
      <c r="F12" s="16" t="s">
        <v>43</v>
      </c>
    </row>
    <row r="13" spans="1:6" ht="34.5" customHeight="1" x14ac:dyDescent="0.2">
      <c r="A13" s="15" t="s">
        <v>55</v>
      </c>
      <c r="B13" s="16" t="s">
        <v>132</v>
      </c>
      <c r="C13" s="17" t="s">
        <v>32</v>
      </c>
      <c r="D13" s="20" t="s">
        <v>42</v>
      </c>
      <c r="E13" s="19">
        <v>4.58</v>
      </c>
      <c r="F13" s="16" t="s">
        <v>43</v>
      </c>
    </row>
    <row r="14" spans="1:6" ht="34.5" customHeight="1" x14ac:dyDescent="0.2">
      <c r="A14" s="15" t="s">
        <v>57</v>
      </c>
      <c r="B14" s="16" t="s">
        <v>133</v>
      </c>
      <c r="C14" s="17" t="s">
        <v>32</v>
      </c>
      <c r="D14" s="20" t="s">
        <v>42</v>
      </c>
      <c r="E14" s="19">
        <v>4</v>
      </c>
      <c r="F14" s="16" t="s">
        <v>134</v>
      </c>
    </row>
    <row r="15" spans="1:6" ht="34.5" customHeight="1" x14ac:dyDescent="0.2">
      <c r="A15" s="15" t="s">
        <v>60</v>
      </c>
      <c r="B15" s="16" t="s">
        <v>135</v>
      </c>
      <c r="C15" s="17" t="s">
        <v>32</v>
      </c>
      <c r="D15" s="20" t="s">
        <v>42</v>
      </c>
      <c r="E15" s="19">
        <v>5.34</v>
      </c>
      <c r="F15" s="16" t="s">
        <v>136</v>
      </c>
    </row>
    <row r="16" spans="1:6" ht="34.5" customHeight="1" x14ac:dyDescent="0.2">
      <c r="A16" s="15" t="s">
        <v>62</v>
      </c>
      <c r="B16" s="16" t="s">
        <v>137</v>
      </c>
      <c r="C16" s="17" t="s">
        <v>32</v>
      </c>
      <c r="D16" s="20" t="s">
        <v>42</v>
      </c>
      <c r="E16" s="19">
        <v>5.34</v>
      </c>
      <c r="F16" s="16" t="s">
        <v>138</v>
      </c>
    </row>
    <row r="20" spans="1:6" ht="18.75" customHeight="1" x14ac:dyDescent="0.25">
      <c r="A20" s="1" t="s">
        <v>82</v>
      </c>
      <c r="B20" s="1"/>
      <c r="C20" s="1"/>
      <c r="D20" s="1"/>
      <c r="E20" s="1"/>
      <c r="F20" s="1"/>
    </row>
    <row r="21" spans="1:6" x14ac:dyDescent="0.2">
      <c r="A21" s="22" t="s">
        <v>148</v>
      </c>
      <c r="B21" s="22"/>
      <c r="C21" s="22"/>
      <c r="D21" s="22"/>
      <c r="E21" s="22"/>
      <c r="F21" s="22"/>
    </row>
    <row r="22" spans="1:6" x14ac:dyDescent="0.2">
      <c r="A22" s="22"/>
      <c r="B22" s="22"/>
      <c r="C22" s="22"/>
      <c r="D22" s="22"/>
      <c r="E22" s="22"/>
      <c r="F22" s="22"/>
    </row>
    <row r="23" spans="1:6" x14ac:dyDescent="0.2">
      <c r="A23" s="22"/>
      <c r="B23" s="22"/>
      <c r="C23" s="22"/>
      <c r="D23" s="22"/>
      <c r="E23" s="22"/>
      <c r="F23" s="22"/>
    </row>
    <row r="24" spans="1:6" x14ac:dyDescent="0.2">
      <c r="A24" s="22"/>
      <c r="B24" s="22"/>
      <c r="C24" s="22"/>
      <c r="D24" s="22"/>
      <c r="E24" s="22"/>
      <c r="F24" s="22"/>
    </row>
    <row r="25" spans="1:6" x14ac:dyDescent="0.2">
      <c r="A25" s="22"/>
      <c r="B25" s="22"/>
      <c r="C25" s="22"/>
      <c r="D25" s="22"/>
      <c r="E25" s="22"/>
      <c r="F25" s="22"/>
    </row>
  </sheetData>
  <mergeCells count="3">
    <mergeCell ref="A1:F1"/>
    <mergeCell ref="A20:F20"/>
    <mergeCell ref="A21:F25"/>
  </mergeCells>
  <phoneticPr fontId="11" type="noConversion"/>
  <conditionalFormatting sqref="C3:C16">
    <cfRule type="expression" dxfId="2" priority="2">
      <formula>$C3="✓ Validé"</formula>
    </cfRule>
    <cfRule type="expression" dxfId="1" priority="3">
      <formula>$C3="✗ Non validé"</formula>
    </cfRule>
    <cfRule type="expression" dxfId="0" priority="4">
      <formula>$C3="⊗ Non applicable"</formula>
    </cfRule>
  </conditionalFormatting>
  <dataValidations count="1">
    <dataValidation type="list" promptTitle="Statut de contrôle" prompt="Sélectionnez le statut" sqref="C3:C16" xr:uid="{00000000-0002-0000-0300-000000000000}">
      <formula1>"✓ Validé,✗ Non validé,⊗ Non applicable"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📊 Synthèse &amp; Scoring</vt:lpstr>
      <vt:lpstr>Diligences Juridique &amp; Foncier</vt:lpstr>
      <vt:lpstr>Diligences Technique</vt:lpstr>
      <vt:lpstr>Diligences Économique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Microsoft Office User</cp:lastModifiedBy>
  <cp:revision>0</cp:revision>
  <dcterms:created xsi:type="dcterms:W3CDTF">2026-02-05T15:19:12Z</dcterms:created>
  <dcterms:modified xsi:type="dcterms:W3CDTF">2026-02-26T07:45:24Z</dcterms:modified>
  <dc:language>en-US</dc:language>
</cp:coreProperties>
</file>