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ibrahym/Desktop/ENVOI DEXCO/EXCEL/"/>
    </mc:Choice>
  </mc:AlternateContent>
  <xr:revisionPtr revIDLastSave="0" documentId="13_ncr:1_{09A49B0A-B19F-4E49-AE07-0D438F09B429}" xr6:coauthVersionLast="47" xr6:coauthVersionMax="47" xr10:uidLastSave="{00000000-0000-0000-0000-000000000000}"/>
  <bookViews>
    <workbookView xWindow="28800" yWindow="460" windowWidth="38400" windowHeight="21140" tabRatio="500" activeTab="1" xr2:uid="{00000000-000D-0000-FFFF-FFFF00000000}"/>
  </bookViews>
  <sheets>
    <sheet name="Table_Complete_CGNC_PCG" sheetId="1" r:id="rId1"/>
    <sheet name="Conversion_Balance retravail ba" sheetId="6" r:id="rId2"/>
  </sheets>
  <definedNames>
    <definedName name="_xlnm._FilterDatabase" localSheetId="0" hidden="1">Table_Complete_CGNC_PCG!$A$3:$H$369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6" i="6" l="1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5" i="6"/>
  <c r="L53" i="6"/>
  <c r="L52" i="6"/>
  <c r="L51" i="6"/>
  <c r="L50" i="6"/>
  <c r="L46" i="6"/>
  <c r="L45" i="6"/>
  <c r="F45" i="6" s="1"/>
  <c r="K45" i="6" s="1"/>
  <c r="L25" i="6"/>
  <c r="L10" i="6"/>
  <c r="F10" i="6" s="1"/>
  <c r="L7" i="6"/>
  <c r="L8" i="6"/>
  <c r="L9" i="6"/>
  <c r="L11" i="6"/>
  <c r="L12" i="6"/>
  <c r="L58" i="6"/>
  <c r="F107" i="6"/>
  <c r="G107" i="6"/>
  <c r="K107" i="6"/>
  <c r="L107" i="6"/>
  <c r="M107" i="6"/>
  <c r="N107" i="6" s="1"/>
  <c r="O107" i="6" s="1"/>
  <c r="P107" i="6" s="1"/>
  <c r="Q107" i="6" s="1"/>
  <c r="R107" i="6" s="1"/>
  <c r="S107" i="6" s="1"/>
  <c r="T107" i="6" s="1"/>
  <c r="U107" i="6" s="1"/>
  <c r="F108" i="6"/>
  <c r="G108" i="6"/>
  <c r="K108" i="6"/>
  <c r="L108" i="6"/>
  <c r="M108" i="6"/>
  <c r="N108" i="6" s="1"/>
  <c r="O108" i="6" s="1"/>
  <c r="P108" i="6" s="1"/>
  <c r="Q108" i="6" s="1"/>
  <c r="R108" i="6" s="1"/>
  <c r="S108" i="6" s="1"/>
  <c r="T108" i="6" s="1"/>
  <c r="U108" i="6" s="1"/>
  <c r="F109" i="6"/>
  <c r="G109" i="6"/>
  <c r="K109" i="6"/>
  <c r="L109" i="6"/>
  <c r="M109" i="6"/>
  <c r="N109" i="6"/>
  <c r="O109" i="6" s="1"/>
  <c r="P109" i="6" s="1"/>
  <c r="Q109" i="6" s="1"/>
  <c r="R109" i="6" s="1"/>
  <c r="S109" i="6" s="1"/>
  <c r="T109" i="6" s="1"/>
  <c r="U109" i="6" s="1"/>
  <c r="F110" i="6"/>
  <c r="G110" i="6"/>
  <c r="K110" i="6"/>
  <c r="L110" i="6"/>
  <c r="M110" i="6"/>
  <c r="N110" i="6"/>
  <c r="O110" i="6" s="1"/>
  <c r="P110" i="6" s="1"/>
  <c r="Q110" i="6" s="1"/>
  <c r="R110" i="6" s="1"/>
  <c r="S110" i="6" s="1"/>
  <c r="T110" i="6" s="1"/>
  <c r="U110" i="6" s="1"/>
  <c r="F111" i="6"/>
  <c r="G111" i="6"/>
  <c r="K111" i="6"/>
  <c r="L111" i="6"/>
  <c r="M111" i="6"/>
  <c r="N111" i="6" s="1"/>
  <c r="O111" i="6" s="1"/>
  <c r="P111" i="6" s="1"/>
  <c r="Q111" i="6" s="1"/>
  <c r="R111" i="6" s="1"/>
  <c r="S111" i="6" s="1"/>
  <c r="T111" i="6" s="1"/>
  <c r="U111" i="6" s="1"/>
  <c r="F112" i="6"/>
  <c r="G112" i="6"/>
  <c r="K112" i="6"/>
  <c r="L112" i="6"/>
  <c r="M112" i="6"/>
  <c r="N112" i="6" s="1"/>
  <c r="O112" i="6" s="1"/>
  <c r="P112" i="6" s="1"/>
  <c r="Q112" i="6" s="1"/>
  <c r="R112" i="6" s="1"/>
  <c r="S112" i="6" s="1"/>
  <c r="T112" i="6" s="1"/>
  <c r="U112" i="6" s="1"/>
  <c r="F113" i="6"/>
  <c r="G113" i="6"/>
  <c r="K113" i="6"/>
  <c r="L113" i="6"/>
  <c r="M113" i="6"/>
  <c r="N113" i="6" s="1"/>
  <c r="O113" i="6" s="1"/>
  <c r="P113" i="6" s="1"/>
  <c r="Q113" i="6" s="1"/>
  <c r="R113" i="6" s="1"/>
  <c r="S113" i="6" s="1"/>
  <c r="T113" i="6" s="1"/>
  <c r="U113" i="6" s="1"/>
  <c r="F114" i="6"/>
  <c r="G114" i="6"/>
  <c r="K114" i="6"/>
  <c r="L114" i="6"/>
  <c r="M114" i="6"/>
  <c r="N114" i="6" s="1"/>
  <c r="O114" i="6" s="1"/>
  <c r="P114" i="6" s="1"/>
  <c r="Q114" i="6" s="1"/>
  <c r="R114" i="6" s="1"/>
  <c r="S114" i="6" s="1"/>
  <c r="T114" i="6" s="1"/>
  <c r="U114" i="6" s="1"/>
  <c r="F115" i="6"/>
  <c r="G115" i="6"/>
  <c r="K115" i="6"/>
  <c r="L115" i="6"/>
  <c r="M115" i="6"/>
  <c r="N115" i="6" s="1"/>
  <c r="O115" i="6" s="1"/>
  <c r="P115" i="6" s="1"/>
  <c r="Q115" i="6" s="1"/>
  <c r="R115" i="6" s="1"/>
  <c r="S115" i="6" s="1"/>
  <c r="T115" i="6" s="1"/>
  <c r="U115" i="6" s="1"/>
  <c r="F116" i="6"/>
  <c r="G116" i="6"/>
  <c r="K116" i="6"/>
  <c r="L116" i="6"/>
  <c r="M116" i="6"/>
  <c r="N116" i="6" s="1"/>
  <c r="O116" i="6" s="1"/>
  <c r="P116" i="6" s="1"/>
  <c r="Q116" i="6" s="1"/>
  <c r="R116" i="6" s="1"/>
  <c r="S116" i="6" s="1"/>
  <c r="T116" i="6" s="1"/>
  <c r="U116" i="6" s="1"/>
  <c r="F117" i="6"/>
  <c r="G117" i="6"/>
  <c r="K117" i="6"/>
  <c r="L117" i="6"/>
  <c r="M117" i="6"/>
  <c r="N117" i="6" s="1"/>
  <c r="O117" i="6" s="1"/>
  <c r="P117" i="6" s="1"/>
  <c r="Q117" i="6" s="1"/>
  <c r="R117" i="6" s="1"/>
  <c r="S117" i="6" s="1"/>
  <c r="T117" i="6" s="1"/>
  <c r="U117" i="6" s="1"/>
  <c r="F118" i="6"/>
  <c r="G118" i="6"/>
  <c r="K118" i="6"/>
  <c r="L118" i="6"/>
  <c r="M118" i="6"/>
  <c r="N118" i="6" s="1"/>
  <c r="O118" i="6" s="1"/>
  <c r="P118" i="6" s="1"/>
  <c r="Q118" i="6" s="1"/>
  <c r="R118" i="6" s="1"/>
  <c r="S118" i="6" s="1"/>
  <c r="T118" i="6" s="1"/>
  <c r="U118" i="6" s="1"/>
  <c r="F119" i="6"/>
  <c r="G119" i="6"/>
  <c r="K119" i="6"/>
  <c r="L119" i="6"/>
  <c r="M119" i="6"/>
  <c r="N119" i="6" s="1"/>
  <c r="O119" i="6" s="1"/>
  <c r="P119" i="6" s="1"/>
  <c r="Q119" i="6" s="1"/>
  <c r="R119" i="6" s="1"/>
  <c r="S119" i="6" s="1"/>
  <c r="T119" i="6" s="1"/>
  <c r="U119" i="6" s="1"/>
  <c r="F120" i="6"/>
  <c r="G120" i="6"/>
  <c r="K120" i="6"/>
  <c r="L120" i="6"/>
  <c r="M120" i="6"/>
  <c r="N120" i="6" s="1"/>
  <c r="O120" i="6" s="1"/>
  <c r="P120" i="6" s="1"/>
  <c r="Q120" i="6" s="1"/>
  <c r="R120" i="6" s="1"/>
  <c r="S120" i="6" s="1"/>
  <c r="T120" i="6" s="1"/>
  <c r="U120" i="6" s="1"/>
  <c r="F121" i="6"/>
  <c r="G121" i="6"/>
  <c r="K121" i="6"/>
  <c r="L121" i="6"/>
  <c r="M121" i="6"/>
  <c r="N121" i="6"/>
  <c r="O121" i="6" s="1"/>
  <c r="P121" i="6" s="1"/>
  <c r="Q121" i="6" s="1"/>
  <c r="R121" i="6" s="1"/>
  <c r="S121" i="6" s="1"/>
  <c r="T121" i="6" s="1"/>
  <c r="U121" i="6" s="1"/>
  <c r="F122" i="6"/>
  <c r="G122" i="6"/>
  <c r="K122" i="6"/>
  <c r="L122" i="6"/>
  <c r="M122" i="6"/>
  <c r="N122" i="6"/>
  <c r="O122" i="6" s="1"/>
  <c r="P122" i="6" s="1"/>
  <c r="Q122" i="6" s="1"/>
  <c r="R122" i="6" s="1"/>
  <c r="S122" i="6" s="1"/>
  <c r="T122" i="6" s="1"/>
  <c r="U122" i="6" s="1"/>
  <c r="F123" i="6"/>
  <c r="G123" i="6"/>
  <c r="K123" i="6"/>
  <c r="L123" i="6"/>
  <c r="M123" i="6"/>
  <c r="N123" i="6" s="1"/>
  <c r="O123" i="6" s="1"/>
  <c r="P123" i="6" s="1"/>
  <c r="Q123" i="6" s="1"/>
  <c r="R123" i="6" s="1"/>
  <c r="S123" i="6" s="1"/>
  <c r="T123" i="6" s="1"/>
  <c r="U123" i="6" s="1"/>
  <c r="F124" i="6"/>
  <c r="G124" i="6"/>
  <c r="K124" i="6"/>
  <c r="L124" i="6"/>
  <c r="M124" i="6"/>
  <c r="N124" i="6" s="1"/>
  <c r="O124" i="6" s="1"/>
  <c r="P124" i="6" s="1"/>
  <c r="Q124" i="6" s="1"/>
  <c r="R124" i="6" s="1"/>
  <c r="S124" i="6" s="1"/>
  <c r="T124" i="6" s="1"/>
  <c r="U124" i="6" s="1"/>
  <c r="F125" i="6"/>
  <c r="G125" i="6"/>
  <c r="K125" i="6"/>
  <c r="L125" i="6"/>
  <c r="M125" i="6"/>
  <c r="N125" i="6" s="1"/>
  <c r="O125" i="6" s="1"/>
  <c r="P125" i="6" s="1"/>
  <c r="Q125" i="6" s="1"/>
  <c r="R125" i="6" s="1"/>
  <c r="S125" i="6" s="1"/>
  <c r="T125" i="6" s="1"/>
  <c r="U125" i="6" s="1"/>
  <c r="F126" i="6"/>
  <c r="G126" i="6"/>
  <c r="K126" i="6"/>
  <c r="L126" i="6"/>
  <c r="M126" i="6"/>
  <c r="N126" i="6" s="1"/>
  <c r="O126" i="6" s="1"/>
  <c r="P126" i="6" s="1"/>
  <c r="Q126" i="6" s="1"/>
  <c r="R126" i="6" s="1"/>
  <c r="S126" i="6" s="1"/>
  <c r="T126" i="6" s="1"/>
  <c r="U126" i="6" s="1"/>
  <c r="F127" i="6"/>
  <c r="G127" i="6"/>
  <c r="K127" i="6"/>
  <c r="L127" i="6"/>
  <c r="M127" i="6"/>
  <c r="N127" i="6" s="1"/>
  <c r="O127" i="6" s="1"/>
  <c r="P127" i="6" s="1"/>
  <c r="Q127" i="6" s="1"/>
  <c r="R127" i="6" s="1"/>
  <c r="S127" i="6" s="1"/>
  <c r="T127" i="6" s="1"/>
  <c r="U127" i="6" s="1"/>
  <c r="F128" i="6"/>
  <c r="G128" i="6"/>
  <c r="K128" i="6"/>
  <c r="L128" i="6"/>
  <c r="M128" i="6"/>
  <c r="N128" i="6" s="1"/>
  <c r="O128" i="6" s="1"/>
  <c r="P128" i="6" s="1"/>
  <c r="Q128" i="6" s="1"/>
  <c r="R128" i="6" s="1"/>
  <c r="S128" i="6" s="1"/>
  <c r="T128" i="6" s="1"/>
  <c r="U128" i="6" s="1"/>
  <c r="F129" i="6"/>
  <c r="G129" i="6"/>
  <c r="K129" i="6"/>
  <c r="L129" i="6"/>
  <c r="M129" i="6"/>
  <c r="N129" i="6"/>
  <c r="O129" i="6" s="1"/>
  <c r="P129" i="6" s="1"/>
  <c r="Q129" i="6" s="1"/>
  <c r="R129" i="6" s="1"/>
  <c r="S129" i="6" s="1"/>
  <c r="T129" i="6" s="1"/>
  <c r="U129" i="6" s="1"/>
  <c r="F130" i="6"/>
  <c r="G130" i="6"/>
  <c r="K130" i="6"/>
  <c r="L130" i="6"/>
  <c r="M130" i="6"/>
  <c r="N130" i="6"/>
  <c r="O130" i="6" s="1"/>
  <c r="P130" i="6" s="1"/>
  <c r="Q130" i="6" s="1"/>
  <c r="R130" i="6" s="1"/>
  <c r="S130" i="6" s="1"/>
  <c r="T130" i="6" s="1"/>
  <c r="U130" i="6" s="1"/>
  <c r="F131" i="6"/>
  <c r="G131" i="6"/>
  <c r="K131" i="6"/>
  <c r="L131" i="6"/>
  <c r="M131" i="6"/>
  <c r="N131" i="6" s="1"/>
  <c r="O131" i="6" s="1"/>
  <c r="P131" i="6" s="1"/>
  <c r="Q131" i="6" s="1"/>
  <c r="R131" i="6" s="1"/>
  <c r="S131" i="6" s="1"/>
  <c r="T131" i="6" s="1"/>
  <c r="U131" i="6" s="1"/>
  <c r="F132" i="6"/>
  <c r="G132" i="6"/>
  <c r="K132" i="6"/>
  <c r="L132" i="6"/>
  <c r="M132" i="6"/>
  <c r="N132" i="6" s="1"/>
  <c r="O132" i="6" s="1"/>
  <c r="P132" i="6" s="1"/>
  <c r="Q132" i="6" s="1"/>
  <c r="R132" i="6" s="1"/>
  <c r="S132" i="6" s="1"/>
  <c r="T132" i="6" s="1"/>
  <c r="U132" i="6" s="1"/>
  <c r="F133" i="6"/>
  <c r="G133" i="6"/>
  <c r="K133" i="6"/>
  <c r="L133" i="6"/>
  <c r="M133" i="6"/>
  <c r="N133" i="6" s="1"/>
  <c r="O133" i="6" s="1"/>
  <c r="P133" i="6" s="1"/>
  <c r="Q133" i="6" s="1"/>
  <c r="R133" i="6" s="1"/>
  <c r="S133" i="6" s="1"/>
  <c r="T133" i="6" s="1"/>
  <c r="U133" i="6" s="1"/>
  <c r="F134" i="6"/>
  <c r="G134" i="6"/>
  <c r="K134" i="6"/>
  <c r="L134" i="6"/>
  <c r="M134" i="6"/>
  <c r="N134" i="6" s="1"/>
  <c r="O134" i="6" s="1"/>
  <c r="P134" i="6" s="1"/>
  <c r="Q134" i="6" s="1"/>
  <c r="R134" i="6" s="1"/>
  <c r="S134" i="6" s="1"/>
  <c r="T134" i="6" s="1"/>
  <c r="U134" i="6" s="1"/>
  <c r="F135" i="6"/>
  <c r="G135" i="6"/>
  <c r="K135" i="6"/>
  <c r="L135" i="6"/>
  <c r="M135" i="6"/>
  <c r="N135" i="6" s="1"/>
  <c r="O135" i="6" s="1"/>
  <c r="P135" i="6" s="1"/>
  <c r="Q135" i="6" s="1"/>
  <c r="R135" i="6" s="1"/>
  <c r="S135" i="6" s="1"/>
  <c r="T135" i="6" s="1"/>
  <c r="U135" i="6" s="1"/>
  <c r="F136" i="6"/>
  <c r="G136" i="6"/>
  <c r="K136" i="6"/>
  <c r="L136" i="6"/>
  <c r="M136" i="6"/>
  <c r="N136" i="6" s="1"/>
  <c r="O136" i="6" s="1"/>
  <c r="P136" i="6" s="1"/>
  <c r="Q136" i="6" s="1"/>
  <c r="R136" i="6" s="1"/>
  <c r="S136" i="6" s="1"/>
  <c r="T136" i="6" s="1"/>
  <c r="U136" i="6" s="1"/>
  <c r="F137" i="6"/>
  <c r="G137" i="6"/>
  <c r="K137" i="6"/>
  <c r="L137" i="6"/>
  <c r="M137" i="6"/>
  <c r="N137" i="6" s="1"/>
  <c r="O137" i="6" s="1"/>
  <c r="P137" i="6" s="1"/>
  <c r="Q137" i="6" s="1"/>
  <c r="R137" i="6" s="1"/>
  <c r="S137" i="6" s="1"/>
  <c r="T137" i="6" s="1"/>
  <c r="U137" i="6" s="1"/>
  <c r="F138" i="6"/>
  <c r="G138" i="6"/>
  <c r="K138" i="6"/>
  <c r="L138" i="6"/>
  <c r="M138" i="6"/>
  <c r="N138" i="6" s="1"/>
  <c r="O138" i="6" s="1"/>
  <c r="P138" i="6" s="1"/>
  <c r="Q138" i="6" s="1"/>
  <c r="R138" i="6" s="1"/>
  <c r="S138" i="6" s="1"/>
  <c r="T138" i="6" s="1"/>
  <c r="U138" i="6" s="1"/>
  <c r="F139" i="6"/>
  <c r="G139" i="6"/>
  <c r="K139" i="6"/>
  <c r="L139" i="6"/>
  <c r="M139" i="6"/>
  <c r="N139" i="6" s="1"/>
  <c r="O139" i="6" s="1"/>
  <c r="P139" i="6" s="1"/>
  <c r="Q139" i="6" s="1"/>
  <c r="R139" i="6" s="1"/>
  <c r="S139" i="6" s="1"/>
  <c r="T139" i="6" s="1"/>
  <c r="U139" i="6" s="1"/>
  <c r="F140" i="6"/>
  <c r="G140" i="6"/>
  <c r="K140" i="6"/>
  <c r="L140" i="6"/>
  <c r="M140" i="6"/>
  <c r="N140" i="6" s="1"/>
  <c r="O140" i="6" s="1"/>
  <c r="P140" i="6" s="1"/>
  <c r="Q140" i="6" s="1"/>
  <c r="R140" i="6" s="1"/>
  <c r="S140" i="6" s="1"/>
  <c r="T140" i="6" s="1"/>
  <c r="U140" i="6" s="1"/>
  <c r="F141" i="6"/>
  <c r="G141" i="6"/>
  <c r="K141" i="6"/>
  <c r="L141" i="6"/>
  <c r="M141" i="6"/>
  <c r="N141" i="6" s="1"/>
  <c r="O141" i="6" s="1"/>
  <c r="P141" i="6" s="1"/>
  <c r="Q141" i="6" s="1"/>
  <c r="R141" i="6" s="1"/>
  <c r="S141" i="6" s="1"/>
  <c r="T141" i="6" s="1"/>
  <c r="U141" i="6" s="1"/>
  <c r="F142" i="6"/>
  <c r="G142" i="6"/>
  <c r="K142" i="6"/>
  <c r="L142" i="6"/>
  <c r="M142" i="6"/>
  <c r="N142" i="6" s="1"/>
  <c r="O142" i="6" s="1"/>
  <c r="P142" i="6" s="1"/>
  <c r="Q142" i="6" s="1"/>
  <c r="R142" i="6" s="1"/>
  <c r="S142" i="6" s="1"/>
  <c r="T142" i="6" s="1"/>
  <c r="U142" i="6" s="1"/>
  <c r="F143" i="6"/>
  <c r="G143" i="6"/>
  <c r="K143" i="6"/>
  <c r="L143" i="6"/>
  <c r="M143" i="6"/>
  <c r="N143" i="6" s="1"/>
  <c r="O143" i="6" s="1"/>
  <c r="P143" i="6" s="1"/>
  <c r="Q143" i="6" s="1"/>
  <c r="R143" i="6" s="1"/>
  <c r="S143" i="6" s="1"/>
  <c r="T143" i="6" s="1"/>
  <c r="U143" i="6" s="1"/>
  <c r="F144" i="6"/>
  <c r="G144" i="6"/>
  <c r="K144" i="6"/>
  <c r="L144" i="6"/>
  <c r="M144" i="6"/>
  <c r="N144" i="6" s="1"/>
  <c r="O144" i="6" s="1"/>
  <c r="P144" i="6" s="1"/>
  <c r="Q144" i="6" s="1"/>
  <c r="R144" i="6" s="1"/>
  <c r="S144" i="6" s="1"/>
  <c r="T144" i="6" s="1"/>
  <c r="U144" i="6" s="1"/>
  <c r="F145" i="6"/>
  <c r="G145" i="6"/>
  <c r="K145" i="6"/>
  <c r="L145" i="6"/>
  <c r="M145" i="6"/>
  <c r="N145" i="6"/>
  <c r="O145" i="6" s="1"/>
  <c r="P145" i="6" s="1"/>
  <c r="Q145" i="6" s="1"/>
  <c r="R145" i="6" s="1"/>
  <c r="S145" i="6" s="1"/>
  <c r="T145" i="6" s="1"/>
  <c r="U145" i="6" s="1"/>
  <c r="F146" i="6"/>
  <c r="G146" i="6"/>
  <c r="K146" i="6"/>
  <c r="L146" i="6"/>
  <c r="M146" i="6"/>
  <c r="N146" i="6"/>
  <c r="O146" i="6" s="1"/>
  <c r="P146" i="6" s="1"/>
  <c r="Q146" i="6" s="1"/>
  <c r="R146" i="6" s="1"/>
  <c r="S146" i="6" s="1"/>
  <c r="T146" i="6" s="1"/>
  <c r="U146" i="6" s="1"/>
  <c r="F147" i="6"/>
  <c r="G147" i="6"/>
  <c r="K147" i="6"/>
  <c r="L147" i="6"/>
  <c r="M147" i="6"/>
  <c r="N147" i="6"/>
  <c r="O147" i="6" s="1"/>
  <c r="P147" i="6" s="1"/>
  <c r="Q147" i="6" s="1"/>
  <c r="R147" i="6" s="1"/>
  <c r="S147" i="6" s="1"/>
  <c r="T147" i="6" s="1"/>
  <c r="U147" i="6" s="1"/>
  <c r="F148" i="6"/>
  <c r="G148" i="6"/>
  <c r="K148" i="6"/>
  <c r="L148" i="6"/>
  <c r="M148" i="6"/>
  <c r="N148" i="6" s="1"/>
  <c r="O148" i="6" s="1"/>
  <c r="P148" i="6" s="1"/>
  <c r="Q148" i="6" s="1"/>
  <c r="R148" i="6" s="1"/>
  <c r="S148" i="6" s="1"/>
  <c r="T148" i="6" s="1"/>
  <c r="U148" i="6" s="1"/>
  <c r="F149" i="6"/>
  <c r="G149" i="6"/>
  <c r="K149" i="6"/>
  <c r="L149" i="6"/>
  <c r="M149" i="6"/>
  <c r="N149" i="6" s="1"/>
  <c r="O149" i="6" s="1"/>
  <c r="P149" i="6" s="1"/>
  <c r="Q149" i="6" s="1"/>
  <c r="R149" i="6" s="1"/>
  <c r="S149" i="6" s="1"/>
  <c r="T149" i="6" s="1"/>
  <c r="U149" i="6" s="1"/>
  <c r="F150" i="6"/>
  <c r="G150" i="6"/>
  <c r="K150" i="6"/>
  <c r="L150" i="6"/>
  <c r="M150" i="6"/>
  <c r="N150" i="6" s="1"/>
  <c r="O150" i="6" s="1"/>
  <c r="P150" i="6" s="1"/>
  <c r="Q150" i="6" s="1"/>
  <c r="R150" i="6" s="1"/>
  <c r="S150" i="6" s="1"/>
  <c r="T150" i="6" s="1"/>
  <c r="U150" i="6" s="1"/>
  <c r="F151" i="6"/>
  <c r="G151" i="6"/>
  <c r="K151" i="6"/>
  <c r="L151" i="6"/>
  <c r="M151" i="6"/>
  <c r="N151" i="6" s="1"/>
  <c r="O151" i="6" s="1"/>
  <c r="P151" i="6" s="1"/>
  <c r="Q151" i="6" s="1"/>
  <c r="R151" i="6" s="1"/>
  <c r="S151" i="6" s="1"/>
  <c r="T151" i="6" s="1"/>
  <c r="U151" i="6" s="1"/>
  <c r="F152" i="6"/>
  <c r="G152" i="6"/>
  <c r="K152" i="6"/>
  <c r="L152" i="6"/>
  <c r="M152" i="6"/>
  <c r="N152" i="6"/>
  <c r="O152" i="6" s="1"/>
  <c r="P152" i="6" s="1"/>
  <c r="Q152" i="6" s="1"/>
  <c r="R152" i="6" s="1"/>
  <c r="S152" i="6" s="1"/>
  <c r="T152" i="6" s="1"/>
  <c r="U152" i="6" s="1"/>
  <c r="F153" i="6"/>
  <c r="G153" i="6"/>
  <c r="K153" i="6"/>
  <c r="L153" i="6"/>
  <c r="M153" i="6"/>
  <c r="N153" i="6"/>
  <c r="O153" i="6" s="1"/>
  <c r="P153" i="6" s="1"/>
  <c r="Q153" i="6" s="1"/>
  <c r="R153" i="6" s="1"/>
  <c r="S153" i="6" s="1"/>
  <c r="T153" i="6" s="1"/>
  <c r="U153" i="6" s="1"/>
  <c r="F154" i="6"/>
  <c r="G154" i="6"/>
  <c r="K154" i="6"/>
  <c r="L154" i="6"/>
  <c r="M154" i="6"/>
  <c r="N154" i="6" s="1"/>
  <c r="O154" i="6" s="1"/>
  <c r="P154" i="6" s="1"/>
  <c r="Q154" i="6" s="1"/>
  <c r="R154" i="6" s="1"/>
  <c r="S154" i="6" s="1"/>
  <c r="T154" i="6" s="1"/>
  <c r="U154" i="6" s="1"/>
  <c r="F155" i="6"/>
  <c r="G155" i="6"/>
  <c r="K155" i="6"/>
  <c r="L155" i="6"/>
  <c r="M155" i="6"/>
  <c r="N155" i="6" s="1"/>
  <c r="O155" i="6" s="1"/>
  <c r="P155" i="6" s="1"/>
  <c r="Q155" i="6" s="1"/>
  <c r="R155" i="6" s="1"/>
  <c r="S155" i="6" s="1"/>
  <c r="T155" i="6" s="1"/>
  <c r="U155" i="6" s="1"/>
  <c r="F156" i="6"/>
  <c r="G156" i="6"/>
  <c r="K156" i="6"/>
  <c r="L156" i="6"/>
  <c r="M156" i="6"/>
  <c r="N156" i="6" s="1"/>
  <c r="O156" i="6" s="1"/>
  <c r="P156" i="6" s="1"/>
  <c r="Q156" i="6" s="1"/>
  <c r="R156" i="6" s="1"/>
  <c r="S156" i="6" s="1"/>
  <c r="T156" i="6" s="1"/>
  <c r="U156" i="6" s="1"/>
  <c r="F157" i="6"/>
  <c r="G157" i="6"/>
  <c r="K157" i="6"/>
  <c r="L157" i="6"/>
  <c r="M157" i="6"/>
  <c r="N157" i="6" s="1"/>
  <c r="O157" i="6" s="1"/>
  <c r="P157" i="6" s="1"/>
  <c r="Q157" i="6" s="1"/>
  <c r="R157" i="6" s="1"/>
  <c r="S157" i="6" s="1"/>
  <c r="T157" i="6" s="1"/>
  <c r="U157" i="6" s="1"/>
  <c r="F158" i="6"/>
  <c r="G158" i="6"/>
  <c r="K158" i="6"/>
  <c r="L158" i="6"/>
  <c r="M158" i="6"/>
  <c r="N158" i="6" s="1"/>
  <c r="O158" i="6" s="1"/>
  <c r="P158" i="6" s="1"/>
  <c r="Q158" i="6" s="1"/>
  <c r="R158" i="6" s="1"/>
  <c r="S158" i="6" s="1"/>
  <c r="T158" i="6" s="1"/>
  <c r="U158" i="6" s="1"/>
  <c r="F159" i="6"/>
  <c r="G159" i="6"/>
  <c r="K159" i="6"/>
  <c r="L159" i="6"/>
  <c r="M159" i="6"/>
  <c r="N159" i="6" s="1"/>
  <c r="O159" i="6" s="1"/>
  <c r="P159" i="6" s="1"/>
  <c r="Q159" i="6" s="1"/>
  <c r="R159" i="6" s="1"/>
  <c r="S159" i="6" s="1"/>
  <c r="T159" i="6" s="1"/>
  <c r="U159" i="6" s="1"/>
  <c r="F160" i="6"/>
  <c r="G160" i="6"/>
  <c r="K160" i="6"/>
  <c r="L160" i="6"/>
  <c r="M160" i="6"/>
  <c r="N160" i="6" s="1"/>
  <c r="O160" i="6" s="1"/>
  <c r="P160" i="6" s="1"/>
  <c r="Q160" i="6" s="1"/>
  <c r="R160" i="6" s="1"/>
  <c r="S160" i="6" s="1"/>
  <c r="T160" i="6" s="1"/>
  <c r="U160" i="6" s="1"/>
  <c r="F161" i="6"/>
  <c r="G161" i="6"/>
  <c r="K161" i="6"/>
  <c r="L161" i="6"/>
  <c r="M161" i="6"/>
  <c r="N161" i="6" s="1"/>
  <c r="O161" i="6" s="1"/>
  <c r="P161" i="6" s="1"/>
  <c r="Q161" i="6" s="1"/>
  <c r="R161" i="6" s="1"/>
  <c r="S161" i="6" s="1"/>
  <c r="T161" i="6" s="1"/>
  <c r="U161" i="6" s="1"/>
  <c r="F162" i="6"/>
  <c r="G162" i="6"/>
  <c r="K162" i="6"/>
  <c r="L162" i="6"/>
  <c r="M162" i="6"/>
  <c r="N162" i="6" s="1"/>
  <c r="O162" i="6" s="1"/>
  <c r="P162" i="6" s="1"/>
  <c r="Q162" i="6" s="1"/>
  <c r="R162" i="6" s="1"/>
  <c r="S162" i="6" s="1"/>
  <c r="T162" i="6" s="1"/>
  <c r="U162" i="6" s="1"/>
  <c r="F163" i="6"/>
  <c r="G163" i="6"/>
  <c r="K163" i="6"/>
  <c r="L163" i="6"/>
  <c r="M163" i="6"/>
  <c r="N163" i="6" s="1"/>
  <c r="O163" i="6" s="1"/>
  <c r="P163" i="6" s="1"/>
  <c r="Q163" i="6" s="1"/>
  <c r="R163" i="6" s="1"/>
  <c r="S163" i="6" s="1"/>
  <c r="T163" i="6" s="1"/>
  <c r="U163" i="6" s="1"/>
  <c r="F164" i="6"/>
  <c r="G164" i="6"/>
  <c r="K164" i="6"/>
  <c r="L164" i="6"/>
  <c r="M164" i="6"/>
  <c r="N164" i="6" s="1"/>
  <c r="O164" i="6" s="1"/>
  <c r="P164" i="6" s="1"/>
  <c r="Q164" i="6" s="1"/>
  <c r="R164" i="6" s="1"/>
  <c r="S164" i="6" s="1"/>
  <c r="T164" i="6" s="1"/>
  <c r="U164" i="6" s="1"/>
  <c r="F165" i="6"/>
  <c r="G165" i="6"/>
  <c r="K165" i="6"/>
  <c r="L165" i="6"/>
  <c r="M165" i="6"/>
  <c r="N165" i="6" s="1"/>
  <c r="O165" i="6" s="1"/>
  <c r="P165" i="6" s="1"/>
  <c r="Q165" i="6" s="1"/>
  <c r="R165" i="6" s="1"/>
  <c r="S165" i="6" s="1"/>
  <c r="T165" i="6" s="1"/>
  <c r="U165" i="6" s="1"/>
  <c r="F166" i="6"/>
  <c r="G166" i="6"/>
  <c r="K166" i="6"/>
  <c r="L166" i="6"/>
  <c r="M166" i="6"/>
  <c r="N166" i="6" s="1"/>
  <c r="O166" i="6" s="1"/>
  <c r="P166" i="6" s="1"/>
  <c r="Q166" i="6" s="1"/>
  <c r="R166" i="6" s="1"/>
  <c r="S166" i="6" s="1"/>
  <c r="T166" i="6" s="1"/>
  <c r="U166" i="6" s="1"/>
  <c r="F167" i="6"/>
  <c r="G167" i="6"/>
  <c r="K167" i="6"/>
  <c r="L167" i="6"/>
  <c r="M167" i="6"/>
  <c r="N167" i="6" s="1"/>
  <c r="O167" i="6" s="1"/>
  <c r="P167" i="6" s="1"/>
  <c r="Q167" i="6" s="1"/>
  <c r="R167" i="6" s="1"/>
  <c r="S167" i="6" s="1"/>
  <c r="T167" i="6" s="1"/>
  <c r="U167" i="6" s="1"/>
  <c r="F168" i="6"/>
  <c r="G168" i="6"/>
  <c r="K168" i="6"/>
  <c r="L168" i="6"/>
  <c r="M168" i="6"/>
  <c r="N168" i="6" s="1"/>
  <c r="O168" i="6" s="1"/>
  <c r="P168" i="6" s="1"/>
  <c r="Q168" i="6" s="1"/>
  <c r="R168" i="6" s="1"/>
  <c r="S168" i="6" s="1"/>
  <c r="T168" i="6" s="1"/>
  <c r="U168" i="6" s="1"/>
  <c r="F169" i="6"/>
  <c r="G169" i="6"/>
  <c r="K169" i="6"/>
  <c r="L169" i="6"/>
  <c r="M169" i="6"/>
  <c r="N169" i="6" s="1"/>
  <c r="O169" i="6" s="1"/>
  <c r="P169" i="6" s="1"/>
  <c r="Q169" i="6" s="1"/>
  <c r="R169" i="6" s="1"/>
  <c r="S169" i="6" s="1"/>
  <c r="T169" i="6" s="1"/>
  <c r="U169" i="6" s="1"/>
  <c r="F170" i="6"/>
  <c r="G170" i="6"/>
  <c r="K170" i="6"/>
  <c r="L170" i="6"/>
  <c r="M170" i="6"/>
  <c r="N170" i="6" s="1"/>
  <c r="O170" i="6" s="1"/>
  <c r="P170" i="6" s="1"/>
  <c r="Q170" i="6" s="1"/>
  <c r="R170" i="6" s="1"/>
  <c r="S170" i="6" s="1"/>
  <c r="T170" i="6" s="1"/>
  <c r="U170" i="6" s="1"/>
  <c r="F171" i="6"/>
  <c r="G171" i="6"/>
  <c r="K171" i="6"/>
  <c r="L171" i="6"/>
  <c r="M171" i="6"/>
  <c r="N171" i="6" s="1"/>
  <c r="O171" i="6" s="1"/>
  <c r="P171" i="6" s="1"/>
  <c r="Q171" i="6" s="1"/>
  <c r="R171" i="6" s="1"/>
  <c r="S171" i="6" s="1"/>
  <c r="T171" i="6" s="1"/>
  <c r="U171" i="6" s="1"/>
  <c r="F172" i="6"/>
  <c r="G172" i="6"/>
  <c r="K172" i="6"/>
  <c r="L172" i="6"/>
  <c r="M172" i="6"/>
  <c r="N172" i="6" s="1"/>
  <c r="O172" i="6" s="1"/>
  <c r="P172" i="6" s="1"/>
  <c r="Q172" i="6" s="1"/>
  <c r="R172" i="6" s="1"/>
  <c r="S172" i="6" s="1"/>
  <c r="T172" i="6" s="1"/>
  <c r="U172" i="6" s="1"/>
  <c r="F173" i="6"/>
  <c r="G173" i="6"/>
  <c r="K173" i="6"/>
  <c r="L173" i="6"/>
  <c r="M173" i="6"/>
  <c r="N173" i="6" s="1"/>
  <c r="O173" i="6" s="1"/>
  <c r="P173" i="6" s="1"/>
  <c r="Q173" i="6" s="1"/>
  <c r="R173" i="6" s="1"/>
  <c r="S173" i="6" s="1"/>
  <c r="T173" i="6" s="1"/>
  <c r="U173" i="6" s="1"/>
  <c r="F174" i="6"/>
  <c r="G174" i="6"/>
  <c r="K174" i="6"/>
  <c r="L174" i="6"/>
  <c r="M174" i="6"/>
  <c r="N174" i="6" s="1"/>
  <c r="O174" i="6" s="1"/>
  <c r="P174" i="6" s="1"/>
  <c r="Q174" i="6" s="1"/>
  <c r="R174" i="6" s="1"/>
  <c r="S174" i="6" s="1"/>
  <c r="T174" i="6" s="1"/>
  <c r="U174" i="6" s="1"/>
  <c r="F175" i="6"/>
  <c r="G175" i="6"/>
  <c r="K175" i="6"/>
  <c r="L175" i="6"/>
  <c r="M175" i="6"/>
  <c r="N175" i="6" s="1"/>
  <c r="O175" i="6" s="1"/>
  <c r="P175" i="6" s="1"/>
  <c r="Q175" i="6" s="1"/>
  <c r="R175" i="6" s="1"/>
  <c r="S175" i="6" s="1"/>
  <c r="T175" i="6" s="1"/>
  <c r="U175" i="6" s="1"/>
  <c r="F176" i="6"/>
  <c r="G176" i="6"/>
  <c r="K176" i="6"/>
  <c r="L176" i="6"/>
  <c r="M176" i="6"/>
  <c r="N176" i="6" s="1"/>
  <c r="O176" i="6" s="1"/>
  <c r="P176" i="6" s="1"/>
  <c r="Q176" i="6" s="1"/>
  <c r="R176" i="6" s="1"/>
  <c r="S176" i="6" s="1"/>
  <c r="T176" i="6" s="1"/>
  <c r="U176" i="6" s="1"/>
  <c r="F177" i="6"/>
  <c r="G177" i="6"/>
  <c r="K177" i="6"/>
  <c r="L177" i="6"/>
  <c r="M177" i="6"/>
  <c r="N177" i="6" s="1"/>
  <c r="O177" i="6" s="1"/>
  <c r="P177" i="6" s="1"/>
  <c r="Q177" i="6" s="1"/>
  <c r="R177" i="6" s="1"/>
  <c r="S177" i="6" s="1"/>
  <c r="T177" i="6" s="1"/>
  <c r="U177" i="6" s="1"/>
  <c r="F178" i="6"/>
  <c r="G178" i="6"/>
  <c r="H178" i="6"/>
  <c r="I178" i="6"/>
  <c r="K178" i="6"/>
  <c r="L178" i="6"/>
  <c r="M178" i="6"/>
  <c r="N178" i="6" s="1"/>
  <c r="O178" i="6" s="1"/>
  <c r="P178" i="6" s="1"/>
  <c r="Q178" i="6" s="1"/>
  <c r="R178" i="6" s="1"/>
  <c r="S178" i="6" s="1"/>
  <c r="T178" i="6" s="1"/>
  <c r="U178" i="6" s="1"/>
  <c r="F179" i="6"/>
  <c r="G179" i="6"/>
  <c r="H179" i="6"/>
  <c r="I179" i="6"/>
  <c r="K179" i="6"/>
  <c r="L179" i="6"/>
  <c r="M179" i="6"/>
  <c r="N179" i="6" s="1"/>
  <c r="O179" i="6" s="1"/>
  <c r="P179" i="6" s="1"/>
  <c r="Q179" i="6" s="1"/>
  <c r="R179" i="6" s="1"/>
  <c r="S179" i="6" s="1"/>
  <c r="T179" i="6" s="1"/>
  <c r="U179" i="6" s="1"/>
  <c r="F180" i="6"/>
  <c r="G180" i="6"/>
  <c r="H180" i="6"/>
  <c r="I180" i="6"/>
  <c r="K180" i="6"/>
  <c r="L180" i="6"/>
  <c r="M180" i="6"/>
  <c r="N180" i="6" s="1"/>
  <c r="O180" i="6" s="1"/>
  <c r="P180" i="6" s="1"/>
  <c r="Q180" i="6" s="1"/>
  <c r="R180" i="6" s="1"/>
  <c r="S180" i="6" s="1"/>
  <c r="T180" i="6" s="1"/>
  <c r="U180" i="6" s="1"/>
  <c r="F181" i="6"/>
  <c r="G181" i="6"/>
  <c r="H181" i="6"/>
  <c r="I181" i="6"/>
  <c r="K181" i="6"/>
  <c r="L181" i="6"/>
  <c r="M181" i="6"/>
  <c r="N181" i="6" s="1"/>
  <c r="O181" i="6" s="1"/>
  <c r="P181" i="6" s="1"/>
  <c r="Q181" i="6" s="1"/>
  <c r="R181" i="6" s="1"/>
  <c r="S181" i="6" s="1"/>
  <c r="T181" i="6" s="1"/>
  <c r="U181" i="6" s="1"/>
  <c r="F182" i="6"/>
  <c r="G182" i="6"/>
  <c r="H182" i="6"/>
  <c r="I182" i="6"/>
  <c r="K182" i="6"/>
  <c r="L182" i="6"/>
  <c r="M182" i="6"/>
  <c r="N182" i="6" s="1"/>
  <c r="O182" i="6" s="1"/>
  <c r="P182" i="6" s="1"/>
  <c r="Q182" i="6" s="1"/>
  <c r="R182" i="6" s="1"/>
  <c r="S182" i="6" s="1"/>
  <c r="T182" i="6" s="1"/>
  <c r="U182" i="6" s="1"/>
  <c r="F183" i="6"/>
  <c r="G183" i="6"/>
  <c r="H183" i="6"/>
  <c r="I183" i="6"/>
  <c r="K183" i="6"/>
  <c r="L183" i="6"/>
  <c r="M183" i="6"/>
  <c r="N183" i="6" s="1"/>
  <c r="O183" i="6" s="1"/>
  <c r="P183" i="6" s="1"/>
  <c r="Q183" i="6" s="1"/>
  <c r="R183" i="6" s="1"/>
  <c r="S183" i="6" s="1"/>
  <c r="T183" i="6" s="1"/>
  <c r="U183" i="6" s="1"/>
  <c r="F184" i="6"/>
  <c r="G184" i="6"/>
  <c r="H184" i="6"/>
  <c r="I184" i="6"/>
  <c r="K184" i="6"/>
  <c r="L184" i="6"/>
  <c r="M184" i="6"/>
  <c r="N184" i="6" s="1"/>
  <c r="O184" i="6" s="1"/>
  <c r="P184" i="6" s="1"/>
  <c r="Q184" i="6" s="1"/>
  <c r="R184" i="6" s="1"/>
  <c r="S184" i="6" s="1"/>
  <c r="T184" i="6" s="1"/>
  <c r="U184" i="6" s="1"/>
  <c r="F185" i="6"/>
  <c r="G185" i="6"/>
  <c r="H185" i="6"/>
  <c r="I185" i="6"/>
  <c r="K185" i="6"/>
  <c r="L185" i="6"/>
  <c r="M185" i="6"/>
  <c r="N185" i="6"/>
  <c r="O185" i="6" s="1"/>
  <c r="P185" i="6" s="1"/>
  <c r="Q185" i="6" s="1"/>
  <c r="R185" i="6" s="1"/>
  <c r="S185" i="6" s="1"/>
  <c r="T185" i="6" s="1"/>
  <c r="U185" i="6" s="1"/>
  <c r="F186" i="6"/>
  <c r="G186" i="6"/>
  <c r="H186" i="6"/>
  <c r="I186" i="6"/>
  <c r="K186" i="6"/>
  <c r="L186" i="6"/>
  <c r="M186" i="6"/>
  <c r="N186" i="6" s="1"/>
  <c r="O186" i="6" s="1"/>
  <c r="P186" i="6" s="1"/>
  <c r="Q186" i="6" s="1"/>
  <c r="R186" i="6" s="1"/>
  <c r="S186" i="6" s="1"/>
  <c r="T186" i="6" s="1"/>
  <c r="U186" i="6" s="1"/>
  <c r="F187" i="6"/>
  <c r="G187" i="6"/>
  <c r="H187" i="6"/>
  <c r="I187" i="6"/>
  <c r="K187" i="6"/>
  <c r="L187" i="6"/>
  <c r="M187" i="6"/>
  <c r="N187" i="6" s="1"/>
  <c r="O187" i="6" s="1"/>
  <c r="P187" i="6" s="1"/>
  <c r="Q187" i="6" s="1"/>
  <c r="R187" i="6" s="1"/>
  <c r="S187" i="6" s="1"/>
  <c r="T187" i="6" s="1"/>
  <c r="U187" i="6" s="1"/>
  <c r="F188" i="6"/>
  <c r="G188" i="6"/>
  <c r="H188" i="6"/>
  <c r="I188" i="6"/>
  <c r="K188" i="6"/>
  <c r="L188" i="6"/>
  <c r="M188" i="6"/>
  <c r="N188" i="6" s="1"/>
  <c r="O188" i="6" s="1"/>
  <c r="P188" i="6" s="1"/>
  <c r="Q188" i="6" s="1"/>
  <c r="R188" i="6" s="1"/>
  <c r="S188" i="6" s="1"/>
  <c r="T188" i="6" s="1"/>
  <c r="U188" i="6" s="1"/>
  <c r="F189" i="6"/>
  <c r="G189" i="6"/>
  <c r="H189" i="6"/>
  <c r="I189" i="6"/>
  <c r="K189" i="6"/>
  <c r="L189" i="6"/>
  <c r="M189" i="6"/>
  <c r="N189" i="6" s="1"/>
  <c r="O189" i="6" s="1"/>
  <c r="P189" i="6" s="1"/>
  <c r="Q189" i="6" s="1"/>
  <c r="R189" i="6" s="1"/>
  <c r="S189" i="6" s="1"/>
  <c r="T189" i="6" s="1"/>
  <c r="U189" i="6" s="1"/>
  <c r="F190" i="6"/>
  <c r="G190" i="6"/>
  <c r="H190" i="6"/>
  <c r="I190" i="6"/>
  <c r="K190" i="6"/>
  <c r="L190" i="6"/>
  <c r="M190" i="6"/>
  <c r="N190" i="6" s="1"/>
  <c r="O190" i="6" s="1"/>
  <c r="P190" i="6" s="1"/>
  <c r="Q190" i="6" s="1"/>
  <c r="R190" i="6" s="1"/>
  <c r="S190" i="6" s="1"/>
  <c r="T190" i="6" s="1"/>
  <c r="U190" i="6" s="1"/>
  <c r="F191" i="6"/>
  <c r="G191" i="6"/>
  <c r="H191" i="6"/>
  <c r="I191" i="6"/>
  <c r="K191" i="6"/>
  <c r="L191" i="6"/>
  <c r="M191" i="6"/>
  <c r="N191" i="6" s="1"/>
  <c r="O191" i="6" s="1"/>
  <c r="P191" i="6" s="1"/>
  <c r="Q191" i="6" s="1"/>
  <c r="R191" i="6" s="1"/>
  <c r="S191" i="6" s="1"/>
  <c r="T191" i="6" s="1"/>
  <c r="U191" i="6" s="1"/>
  <c r="F192" i="6"/>
  <c r="G192" i="6"/>
  <c r="H192" i="6"/>
  <c r="I192" i="6"/>
  <c r="K192" i="6"/>
  <c r="L192" i="6"/>
  <c r="M192" i="6"/>
  <c r="N192" i="6" s="1"/>
  <c r="O192" i="6" s="1"/>
  <c r="P192" i="6" s="1"/>
  <c r="Q192" i="6" s="1"/>
  <c r="R192" i="6" s="1"/>
  <c r="S192" i="6" s="1"/>
  <c r="T192" i="6" s="1"/>
  <c r="U192" i="6" s="1"/>
  <c r="F193" i="6"/>
  <c r="G193" i="6"/>
  <c r="H193" i="6"/>
  <c r="I193" i="6"/>
  <c r="K193" i="6"/>
  <c r="L193" i="6"/>
  <c r="M193" i="6"/>
  <c r="N193" i="6" s="1"/>
  <c r="O193" i="6" s="1"/>
  <c r="P193" i="6" s="1"/>
  <c r="Q193" i="6" s="1"/>
  <c r="R193" i="6" s="1"/>
  <c r="S193" i="6" s="1"/>
  <c r="T193" i="6" s="1"/>
  <c r="U193" i="6" s="1"/>
  <c r="F194" i="6"/>
  <c r="G194" i="6"/>
  <c r="H194" i="6"/>
  <c r="I194" i="6"/>
  <c r="K194" i="6"/>
  <c r="L194" i="6"/>
  <c r="M194" i="6"/>
  <c r="N194" i="6" s="1"/>
  <c r="O194" i="6" s="1"/>
  <c r="P194" i="6" s="1"/>
  <c r="Q194" i="6" s="1"/>
  <c r="R194" i="6" s="1"/>
  <c r="S194" i="6" s="1"/>
  <c r="T194" i="6" s="1"/>
  <c r="U194" i="6" s="1"/>
  <c r="F195" i="6"/>
  <c r="G195" i="6"/>
  <c r="H195" i="6"/>
  <c r="I195" i="6"/>
  <c r="K195" i="6"/>
  <c r="L195" i="6"/>
  <c r="M195" i="6"/>
  <c r="N195" i="6" s="1"/>
  <c r="O195" i="6" s="1"/>
  <c r="P195" i="6" s="1"/>
  <c r="Q195" i="6" s="1"/>
  <c r="R195" i="6" s="1"/>
  <c r="S195" i="6" s="1"/>
  <c r="T195" i="6" s="1"/>
  <c r="U195" i="6" s="1"/>
  <c r="F196" i="6"/>
  <c r="G196" i="6"/>
  <c r="H196" i="6"/>
  <c r="I196" i="6"/>
  <c r="K196" i="6"/>
  <c r="L196" i="6"/>
  <c r="M196" i="6"/>
  <c r="N196" i="6" s="1"/>
  <c r="O196" i="6" s="1"/>
  <c r="P196" i="6" s="1"/>
  <c r="Q196" i="6" s="1"/>
  <c r="R196" i="6" s="1"/>
  <c r="S196" i="6" s="1"/>
  <c r="T196" i="6" s="1"/>
  <c r="U196" i="6" s="1"/>
  <c r="F197" i="6"/>
  <c r="G197" i="6"/>
  <c r="H197" i="6"/>
  <c r="I197" i="6"/>
  <c r="K197" i="6"/>
  <c r="L197" i="6"/>
  <c r="M197" i="6"/>
  <c r="N197" i="6" s="1"/>
  <c r="O197" i="6" s="1"/>
  <c r="P197" i="6" s="1"/>
  <c r="Q197" i="6" s="1"/>
  <c r="R197" i="6" s="1"/>
  <c r="S197" i="6" s="1"/>
  <c r="T197" i="6" s="1"/>
  <c r="U197" i="6" s="1"/>
  <c r="F198" i="6"/>
  <c r="G198" i="6"/>
  <c r="H198" i="6"/>
  <c r="I198" i="6"/>
  <c r="K198" i="6"/>
  <c r="L198" i="6"/>
  <c r="M198" i="6"/>
  <c r="N198" i="6" s="1"/>
  <c r="O198" i="6" s="1"/>
  <c r="P198" i="6" s="1"/>
  <c r="Q198" i="6" s="1"/>
  <c r="R198" i="6" s="1"/>
  <c r="S198" i="6" s="1"/>
  <c r="T198" i="6" s="1"/>
  <c r="U198" i="6" s="1"/>
  <c r="F199" i="6"/>
  <c r="G199" i="6"/>
  <c r="H199" i="6"/>
  <c r="I199" i="6"/>
  <c r="K199" i="6"/>
  <c r="L199" i="6"/>
  <c r="M199" i="6"/>
  <c r="N199" i="6" s="1"/>
  <c r="O199" i="6" s="1"/>
  <c r="P199" i="6" s="1"/>
  <c r="Q199" i="6" s="1"/>
  <c r="R199" i="6" s="1"/>
  <c r="S199" i="6" s="1"/>
  <c r="T199" i="6" s="1"/>
  <c r="U199" i="6" s="1"/>
  <c r="F200" i="6"/>
  <c r="G200" i="6"/>
  <c r="H200" i="6"/>
  <c r="I200" i="6"/>
  <c r="K200" i="6"/>
  <c r="L200" i="6"/>
  <c r="M200" i="6"/>
  <c r="N200" i="6" s="1"/>
  <c r="O200" i="6" s="1"/>
  <c r="P200" i="6" s="1"/>
  <c r="Q200" i="6" s="1"/>
  <c r="R200" i="6" s="1"/>
  <c r="S200" i="6" s="1"/>
  <c r="T200" i="6" s="1"/>
  <c r="U200" i="6" s="1"/>
  <c r="F201" i="6"/>
  <c r="G201" i="6"/>
  <c r="H201" i="6"/>
  <c r="I201" i="6"/>
  <c r="K201" i="6"/>
  <c r="L201" i="6"/>
  <c r="M201" i="6"/>
  <c r="N201" i="6" s="1"/>
  <c r="O201" i="6" s="1"/>
  <c r="P201" i="6" s="1"/>
  <c r="Q201" i="6" s="1"/>
  <c r="R201" i="6" s="1"/>
  <c r="S201" i="6" s="1"/>
  <c r="T201" i="6" s="1"/>
  <c r="U201" i="6" s="1"/>
  <c r="F202" i="6"/>
  <c r="G202" i="6"/>
  <c r="H202" i="6"/>
  <c r="I202" i="6"/>
  <c r="K202" i="6"/>
  <c r="L202" i="6"/>
  <c r="M202" i="6"/>
  <c r="N202" i="6" s="1"/>
  <c r="O202" i="6" s="1"/>
  <c r="P202" i="6" s="1"/>
  <c r="Q202" i="6" s="1"/>
  <c r="R202" i="6" s="1"/>
  <c r="S202" i="6" s="1"/>
  <c r="T202" i="6" s="1"/>
  <c r="U202" i="6" s="1"/>
  <c r="F203" i="6"/>
  <c r="G203" i="6"/>
  <c r="H203" i="6"/>
  <c r="I203" i="6"/>
  <c r="K203" i="6"/>
  <c r="L203" i="6"/>
  <c r="M203" i="6"/>
  <c r="N203" i="6" s="1"/>
  <c r="O203" i="6" s="1"/>
  <c r="P203" i="6" s="1"/>
  <c r="Q203" i="6" s="1"/>
  <c r="R203" i="6" s="1"/>
  <c r="S203" i="6" s="1"/>
  <c r="T203" i="6" s="1"/>
  <c r="U203" i="6" s="1"/>
  <c r="F204" i="6"/>
  <c r="G204" i="6"/>
  <c r="H204" i="6"/>
  <c r="I204" i="6"/>
  <c r="K204" i="6"/>
  <c r="L204" i="6"/>
  <c r="M204" i="6"/>
  <c r="N204" i="6" s="1"/>
  <c r="O204" i="6" s="1"/>
  <c r="P204" i="6" s="1"/>
  <c r="Q204" i="6" s="1"/>
  <c r="R204" i="6" s="1"/>
  <c r="S204" i="6" s="1"/>
  <c r="T204" i="6" s="1"/>
  <c r="U204" i="6" s="1"/>
  <c r="F205" i="6"/>
  <c r="G205" i="6"/>
  <c r="H205" i="6"/>
  <c r="I205" i="6"/>
  <c r="K205" i="6"/>
  <c r="L205" i="6"/>
  <c r="M205" i="6"/>
  <c r="N205" i="6" s="1"/>
  <c r="O205" i="6" s="1"/>
  <c r="P205" i="6" s="1"/>
  <c r="Q205" i="6" s="1"/>
  <c r="R205" i="6" s="1"/>
  <c r="S205" i="6" s="1"/>
  <c r="T205" i="6" s="1"/>
  <c r="U205" i="6" s="1"/>
  <c r="F206" i="6"/>
  <c r="G206" i="6"/>
  <c r="H206" i="6"/>
  <c r="I206" i="6"/>
  <c r="K206" i="6"/>
  <c r="L206" i="6"/>
  <c r="M206" i="6"/>
  <c r="N206" i="6" s="1"/>
  <c r="O206" i="6" s="1"/>
  <c r="P206" i="6" s="1"/>
  <c r="Q206" i="6" s="1"/>
  <c r="R206" i="6" s="1"/>
  <c r="S206" i="6" s="1"/>
  <c r="T206" i="6" s="1"/>
  <c r="U206" i="6" s="1"/>
  <c r="F207" i="6"/>
  <c r="G207" i="6"/>
  <c r="H207" i="6"/>
  <c r="I207" i="6"/>
  <c r="K207" i="6"/>
  <c r="L207" i="6"/>
  <c r="M207" i="6"/>
  <c r="N207" i="6" s="1"/>
  <c r="O207" i="6" s="1"/>
  <c r="P207" i="6" s="1"/>
  <c r="Q207" i="6" s="1"/>
  <c r="R207" i="6" s="1"/>
  <c r="S207" i="6" s="1"/>
  <c r="T207" i="6" s="1"/>
  <c r="U207" i="6" s="1"/>
  <c r="F208" i="6"/>
  <c r="G208" i="6"/>
  <c r="H208" i="6"/>
  <c r="I208" i="6"/>
  <c r="K208" i="6"/>
  <c r="L208" i="6"/>
  <c r="M208" i="6"/>
  <c r="N208" i="6" s="1"/>
  <c r="O208" i="6" s="1"/>
  <c r="P208" i="6" s="1"/>
  <c r="Q208" i="6" s="1"/>
  <c r="R208" i="6" s="1"/>
  <c r="S208" i="6" s="1"/>
  <c r="T208" i="6" s="1"/>
  <c r="U208" i="6" s="1"/>
  <c r="F209" i="6"/>
  <c r="G209" i="6"/>
  <c r="H209" i="6"/>
  <c r="I209" i="6"/>
  <c r="K209" i="6"/>
  <c r="L209" i="6"/>
  <c r="M209" i="6"/>
  <c r="N209" i="6" s="1"/>
  <c r="O209" i="6" s="1"/>
  <c r="P209" i="6" s="1"/>
  <c r="Q209" i="6" s="1"/>
  <c r="R209" i="6" s="1"/>
  <c r="S209" i="6" s="1"/>
  <c r="T209" i="6" s="1"/>
  <c r="U209" i="6" s="1"/>
  <c r="F210" i="6"/>
  <c r="G210" i="6"/>
  <c r="H210" i="6"/>
  <c r="I210" i="6"/>
  <c r="K210" i="6"/>
  <c r="L210" i="6"/>
  <c r="M210" i="6"/>
  <c r="N210" i="6" s="1"/>
  <c r="O210" i="6" s="1"/>
  <c r="P210" i="6" s="1"/>
  <c r="Q210" i="6" s="1"/>
  <c r="R210" i="6" s="1"/>
  <c r="S210" i="6" s="1"/>
  <c r="T210" i="6" s="1"/>
  <c r="U210" i="6" s="1"/>
  <c r="F211" i="6"/>
  <c r="G211" i="6"/>
  <c r="H211" i="6"/>
  <c r="I211" i="6"/>
  <c r="K211" i="6"/>
  <c r="L211" i="6"/>
  <c r="M211" i="6"/>
  <c r="N211" i="6" s="1"/>
  <c r="O211" i="6" s="1"/>
  <c r="P211" i="6" s="1"/>
  <c r="Q211" i="6" s="1"/>
  <c r="R211" i="6" s="1"/>
  <c r="S211" i="6" s="1"/>
  <c r="T211" i="6" s="1"/>
  <c r="U211" i="6" s="1"/>
  <c r="L42" i="6"/>
  <c r="F42" i="6" s="1"/>
  <c r="K42" i="6" s="1"/>
  <c r="L43" i="6"/>
  <c r="L44" i="6"/>
  <c r="F44" i="6" s="1"/>
  <c r="K44" i="6" s="1"/>
  <c r="G46" i="6"/>
  <c r="L47" i="6"/>
  <c r="L48" i="6"/>
  <c r="L49" i="6"/>
  <c r="G51" i="6"/>
  <c r="L54" i="6"/>
  <c r="G54" i="6" s="1"/>
  <c r="L55" i="6"/>
  <c r="L56" i="6"/>
  <c r="L57" i="6"/>
  <c r="G52" i="6"/>
  <c r="G7" i="6"/>
  <c r="F7" i="6"/>
  <c r="K7" i="6" s="1"/>
  <c r="F51" i="6"/>
  <c r="K51" i="6" s="1"/>
  <c r="F52" i="6"/>
  <c r="K52" i="6" s="1"/>
  <c r="F46" i="6" l="1"/>
  <c r="K46" i="6" s="1"/>
  <c r="G44" i="6"/>
  <c r="G42" i="6"/>
  <c r="K10" i="6"/>
  <c r="G10" i="6"/>
  <c r="G45" i="6"/>
  <c r="L36" i="6"/>
  <c r="G36" i="6" s="1"/>
  <c r="L35" i="6"/>
  <c r="G35" i="6" s="1"/>
  <c r="F35" i="6" l="1"/>
  <c r="K35" i="6" s="1"/>
  <c r="F36" i="6"/>
  <c r="K36" i="6" s="1"/>
  <c r="F25" i="6"/>
  <c r="K25" i="6" s="1"/>
  <c r="F11" i="6"/>
  <c r="K11" i="6" s="1"/>
  <c r="M212" i="6"/>
  <c r="N212" i="6" s="1"/>
  <c r="O212" i="6" s="1"/>
  <c r="P212" i="6" s="1"/>
  <c r="Q212" i="6" s="1"/>
  <c r="R212" i="6" s="1"/>
  <c r="S212" i="6" s="1"/>
  <c r="T212" i="6" s="1"/>
  <c r="U212" i="6" s="1"/>
  <c r="L212" i="6"/>
  <c r="K212" i="6"/>
  <c r="I212" i="6"/>
  <c r="H212" i="6"/>
  <c r="G212" i="6"/>
  <c r="F212" i="6"/>
  <c r="M106" i="6"/>
  <c r="N106" i="6" s="1"/>
  <c r="O106" i="6" s="1"/>
  <c r="P106" i="6" s="1"/>
  <c r="Q106" i="6" s="1"/>
  <c r="R106" i="6" s="1"/>
  <c r="S106" i="6" s="1"/>
  <c r="T106" i="6" s="1"/>
  <c r="U106" i="6" s="1"/>
  <c r="L106" i="6"/>
  <c r="K106" i="6"/>
  <c r="G106" i="6"/>
  <c r="F106" i="6"/>
  <c r="M105" i="6"/>
  <c r="N105" i="6" s="1"/>
  <c r="O105" i="6" s="1"/>
  <c r="P105" i="6" s="1"/>
  <c r="Q105" i="6" s="1"/>
  <c r="R105" i="6" s="1"/>
  <c r="S105" i="6" s="1"/>
  <c r="T105" i="6" s="1"/>
  <c r="U105" i="6" s="1"/>
  <c r="L105" i="6"/>
  <c r="K105" i="6"/>
  <c r="G105" i="6"/>
  <c r="F105" i="6"/>
  <c r="M104" i="6"/>
  <c r="N104" i="6" s="1"/>
  <c r="O104" i="6" s="1"/>
  <c r="P104" i="6" s="1"/>
  <c r="Q104" i="6" s="1"/>
  <c r="R104" i="6" s="1"/>
  <c r="S104" i="6" s="1"/>
  <c r="T104" i="6" s="1"/>
  <c r="U104" i="6" s="1"/>
  <c r="L104" i="6"/>
  <c r="K104" i="6"/>
  <c r="G104" i="6"/>
  <c r="F104" i="6"/>
  <c r="M103" i="6"/>
  <c r="N103" i="6" s="1"/>
  <c r="O103" i="6" s="1"/>
  <c r="P103" i="6" s="1"/>
  <c r="Q103" i="6" s="1"/>
  <c r="R103" i="6" s="1"/>
  <c r="S103" i="6" s="1"/>
  <c r="T103" i="6" s="1"/>
  <c r="U103" i="6" s="1"/>
  <c r="L103" i="6"/>
  <c r="K103" i="6"/>
  <c r="G103" i="6"/>
  <c r="F103" i="6"/>
  <c r="M102" i="6"/>
  <c r="N102" i="6" s="1"/>
  <c r="O102" i="6" s="1"/>
  <c r="P102" i="6" s="1"/>
  <c r="Q102" i="6" s="1"/>
  <c r="R102" i="6" s="1"/>
  <c r="S102" i="6" s="1"/>
  <c r="T102" i="6" s="1"/>
  <c r="U102" i="6" s="1"/>
  <c r="L102" i="6"/>
  <c r="K102" i="6"/>
  <c r="G102" i="6"/>
  <c r="F102" i="6"/>
  <c r="M101" i="6"/>
  <c r="N101" i="6" s="1"/>
  <c r="O101" i="6" s="1"/>
  <c r="P101" i="6" s="1"/>
  <c r="Q101" i="6" s="1"/>
  <c r="R101" i="6" s="1"/>
  <c r="S101" i="6" s="1"/>
  <c r="T101" i="6" s="1"/>
  <c r="U101" i="6" s="1"/>
  <c r="L101" i="6"/>
  <c r="K101" i="6"/>
  <c r="G101" i="6"/>
  <c r="F101" i="6"/>
  <c r="M100" i="6"/>
  <c r="N100" i="6" s="1"/>
  <c r="O100" i="6" s="1"/>
  <c r="P100" i="6" s="1"/>
  <c r="Q100" i="6" s="1"/>
  <c r="R100" i="6" s="1"/>
  <c r="S100" i="6" s="1"/>
  <c r="T100" i="6" s="1"/>
  <c r="U100" i="6" s="1"/>
  <c r="L100" i="6"/>
  <c r="K100" i="6"/>
  <c r="G100" i="6"/>
  <c r="F100" i="6"/>
  <c r="M99" i="6"/>
  <c r="N99" i="6" s="1"/>
  <c r="O99" i="6" s="1"/>
  <c r="P99" i="6" s="1"/>
  <c r="Q99" i="6" s="1"/>
  <c r="R99" i="6" s="1"/>
  <c r="S99" i="6" s="1"/>
  <c r="T99" i="6" s="1"/>
  <c r="U99" i="6" s="1"/>
  <c r="L99" i="6"/>
  <c r="K99" i="6"/>
  <c r="G99" i="6"/>
  <c r="F99" i="6"/>
  <c r="M98" i="6"/>
  <c r="N98" i="6" s="1"/>
  <c r="O98" i="6" s="1"/>
  <c r="P98" i="6" s="1"/>
  <c r="Q98" i="6" s="1"/>
  <c r="R98" i="6" s="1"/>
  <c r="S98" i="6" s="1"/>
  <c r="T98" i="6" s="1"/>
  <c r="U98" i="6" s="1"/>
  <c r="L98" i="6"/>
  <c r="K98" i="6"/>
  <c r="G98" i="6"/>
  <c r="F98" i="6"/>
  <c r="M97" i="6"/>
  <c r="N97" i="6" s="1"/>
  <c r="O97" i="6" s="1"/>
  <c r="P97" i="6" s="1"/>
  <c r="Q97" i="6" s="1"/>
  <c r="R97" i="6" s="1"/>
  <c r="S97" i="6" s="1"/>
  <c r="T97" i="6" s="1"/>
  <c r="U97" i="6" s="1"/>
  <c r="L97" i="6"/>
  <c r="K97" i="6"/>
  <c r="G97" i="6"/>
  <c r="F97" i="6"/>
  <c r="M96" i="6"/>
  <c r="N96" i="6" s="1"/>
  <c r="O96" i="6" s="1"/>
  <c r="P96" i="6" s="1"/>
  <c r="Q96" i="6" s="1"/>
  <c r="R96" i="6" s="1"/>
  <c r="S96" i="6" s="1"/>
  <c r="T96" i="6" s="1"/>
  <c r="U96" i="6" s="1"/>
  <c r="L96" i="6"/>
  <c r="K96" i="6"/>
  <c r="G96" i="6"/>
  <c r="F96" i="6"/>
  <c r="M95" i="6"/>
  <c r="N95" i="6" s="1"/>
  <c r="O95" i="6" s="1"/>
  <c r="P95" i="6" s="1"/>
  <c r="Q95" i="6" s="1"/>
  <c r="R95" i="6" s="1"/>
  <c r="S95" i="6" s="1"/>
  <c r="T95" i="6" s="1"/>
  <c r="U95" i="6" s="1"/>
  <c r="L95" i="6"/>
  <c r="K95" i="6"/>
  <c r="G95" i="6"/>
  <c r="F95" i="6"/>
  <c r="M94" i="6"/>
  <c r="N94" i="6" s="1"/>
  <c r="O94" i="6" s="1"/>
  <c r="P94" i="6" s="1"/>
  <c r="Q94" i="6" s="1"/>
  <c r="R94" i="6" s="1"/>
  <c r="S94" i="6" s="1"/>
  <c r="T94" i="6" s="1"/>
  <c r="U94" i="6" s="1"/>
  <c r="L94" i="6"/>
  <c r="K94" i="6"/>
  <c r="G94" i="6"/>
  <c r="F94" i="6"/>
  <c r="M93" i="6"/>
  <c r="N93" i="6" s="1"/>
  <c r="O93" i="6" s="1"/>
  <c r="P93" i="6" s="1"/>
  <c r="Q93" i="6" s="1"/>
  <c r="R93" i="6" s="1"/>
  <c r="S93" i="6" s="1"/>
  <c r="T93" i="6" s="1"/>
  <c r="U93" i="6" s="1"/>
  <c r="L93" i="6"/>
  <c r="K93" i="6"/>
  <c r="G93" i="6"/>
  <c r="F93" i="6"/>
  <c r="M92" i="6"/>
  <c r="N92" i="6" s="1"/>
  <c r="O92" i="6" s="1"/>
  <c r="P92" i="6" s="1"/>
  <c r="Q92" i="6" s="1"/>
  <c r="R92" i="6" s="1"/>
  <c r="S92" i="6" s="1"/>
  <c r="T92" i="6" s="1"/>
  <c r="U92" i="6" s="1"/>
  <c r="L92" i="6"/>
  <c r="K92" i="6"/>
  <c r="G92" i="6"/>
  <c r="F92" i="6"/>
  <c r="M91" i="6"/>
  <c r="N91" i="6" s="1"/>
  <c r="O91" i="6" s="1"/>
  <c r="P91" i="6" s="1"/>
  <c r="Q91" i="6" s="1"/>
  <c r="R91" i="6" s="1"/>
  <c r="S91" i="6" s="1"/>
  <c r="T91" i="6" s="1"/>
  <c r="U91" i="6" s="1"/>
  <c r="L91" i="6"/>
  <c r="K91" i="6"/>
  <c r="G91" i="6"/>
  <c r="F91" i="6"/>
  <c r="M90" i="6"/>
  <c r="N90" i="6" s="1"/>
  <c r="O90" i="6" s="1"/>
  <c r="P90" i="6" s="1"/>
  <c r="Q90" i="6" s="1"/>
  <c r="R90" i="6" s="1"/>
  <c r="S90" i="6" s="1"/>
  <c r="T90" i="6" s="1"/>
  <c r="U90" i="6" s="1"/>
  <c r="L90" i="6"/>
  <c r="K90" i="6"/>
  <c r="G90" i="6"/>
  <c r="F90" i="6"/>
  <c r="M89" i="6"/>
  <c r="N89" i="6" s="1"/>
  <c r="O89" i="6" s="1"/>
  <c r="P89" i="6" s="1"/>
  <c r="Q89" i="6" s="1"/>
  <c r="R89" i="6" s="1"/>
  <c r="S89" i="6" s="1"/>
  <c r="T89" i="6" s="1"/>
  <c r="U89" i="6" s="1"/>
  <c r="L89" i="6"/>
  <c r="K89" i="6"/>
  <c r="G89" i="6"/>
  <c r="F89" i="6"/>
  <c r="M88" i="6"/>
  <c r="N88" i="6" s="1"/>
  <c r="O88" i="6" s="1"/>
  <c r="P88" i="6" s="1"/>
  <c r="Q88" i="6" s="1"/>
  <c r="R88" i="6" s="1"/>
  <c r="S88" i="6" s="1"/>
  <c r="T88" i="6" s="1"/>
  <c r="U88" i="6" s="1"/>
  <c r="L88" i="6"/>
  <c r="K88" i="6"/>
  <c r="G88" i="6"/>
  <c r="F88" i="6"/>
  <c r="M87" i="6"/>
  <c r="N87" i="6" s="1"/>
  <c r="O87" i="6" s="1"/>
  <c r="P87" i="6" s="1"/>
  <c r="Q87" i="6" s="1"/>
  <c r="R87" i="6" s="1"/>
  <c r="S87" i="6" s="1"/>
  <c r="T87" i="6" s="1"/>
  <c r="U87" i="6" s="1"/>
  <c r="L87" i="6"/>
  <c r="K87" i="6"/>
  <c r="G87" i="6"/>
  <c r="F87" i="6"/>
  <c r="M86" i="6"/>
  <c r="N86" i="6" s="1"/>
  <c r="O86" i="6" s="1"/>
  <c r="P86" i="6" s="1"/>
  <c r="Q86" i="6" s="1"/>
  <c r="R86" i="6" s="1"/>
  <c r="S86" i="6" s="1"/>
  <c r="T86" i="6" s="1"/>
  <c r="U86" i="6" s="1"/>
  <c r="L86" i="6"/>
  <c r="K86" i="6"/>
  <c r="G86" i="6"/>
  <c r="F86" i="6"/>
  <c r="M85" i="6"/>
  <c r="N85" i="6" s="1"/>
  <c r="O85" i="6" s="1"/>
  <c r="P85" i="6" s="1"/>
  <c r="Q85" i="6" s="1"/>
  <c r="R85" i="6" s="1"/>
  <c r="S85" i="6" s="1"/>
  <c r="T85" i="6" s="1"/>
  <c r="U85" i="6" s="1"/>
  <c r="L85" i="6"/>
  <c r="K85" i="6"/>
  <c r="G85" i="6"/>
  <c r="F85" i="6"/>
  <c r="M84" i="6"/>
  <c r="N84" i="6" s="1"/>
  <c r="O84" i="6" s="1"/>
  <c r="P84" i="6" s="1"/>
  <c r="Q84" i="6" s="1"/>
  <c r="R84" i="6" s="1"/>
  <c r="S84" i="6" s="1"/>
  <c r="T84" i="6" s="1"/>
  <c r="U84" i="6" s="1"/>
  <c r="L84" i="6"/>
  <c r="K84" i="6"/>
  <c r="G84" i="6"/>
  <c r="F84" i="6"/>
  <c r="M83" i="6"/>
  <c r="N83" i="6" s="1"/>
  <c r="O83" i="6" s="1"/>
  <c r="P83" i="6" s="1"/>
  <c r="Q83" i="6" s="1"/>
  <c r="R83" i="6" s="1"/>
  <c r="S83" i="6" s="1"/>
  <c r="T83" i="6" s="1"/>
  <c r="U83" i="6" s="1"/>
  <c r="L83" i="6"/>
  <c r="K83" i="6"/>
  <c r="G83" i="6"/>
  <c r="F83" i="6"/>
  <c r="M82" i="6"/>
  <c r="N82" i="6" s="1"/>
  <c r="O82" i="6" s="1"/>
  <c r="P82" i="6" s="1"/>
  <c r="Q82" i="6" s="1"/>
  <c r="R82" i="6" s="1"/>
  <c r="S82" i="6" s="1"/>
  <c r="T82" i="6" s="1"/>
  <c r="U82" i="6" s="1"/>
  <c r="L82" i="6"/>
  <c r="K82" i="6"/>
  <c r="G82" i="6"/>
  <c r="F82" i="6"/>
  <c r="M81" i="6"/>
  <c r="N81" i="6" s="1"/>
  <c r="O81" i="6" s="1"/>
  <c r="P81" i="6" s="1"/>
  <c r="Q81" i="6" s="1"/>
  <c r="R81" i="6" s="1"/>
  <c r="S81" i="6" s="1"/>
  <c r="T81" i="6" s="1"/>
  <c r="U81" i="6" s="1"/>
  <c r="L81" i="6"/>
  <c r="K81" i="6"/>
  <c r="G81" i="6"/>
  <c r="F81" i="6"/>
  <c r="M80" i="6"/>
  <c r="N80" i="6" s="1"/>
  <c r="O80" i="6" s="1"/>
  <c r="P80" i="6" s="1"/>
  <c r="Q80" i="6" s="1"/>
  <c r="R80" i="6" s="1"/>
  <c r="S80" i="6" s="1"/>
  <c r="T80" i="6" s="1"/>
  <c r="U80" i="6" s="1"/>
  <c r="L80" i="6"/>
  <c r="K80" i="6"/>
  <c r="G80" i="6"/>
  <c r="F80" i="6"/>
  <c r="M79" i="6"/>
  <c r="N79" i="6" s="1"/>
  <c r="O79" i="6" s="1"/>
  <c r="P79" i="6" s="1"/>
  <c r="Q79" i="6" s="1"/>
  <c r="R79" i="6" s="1"/>
  <c r="S79" i="6" s="1"/>
  <c r="T79" i="6" s="1"/>
  <c r="U79" i="6" s="1"/>
  <c r="L79" i="6"/>
  <c r="K79" i="6"/>
  <c r="G79" i="6"/>
  <c r="F79" i="6"/>
  <c r="M78" i="6"/>
  <c r="N78" i="6" s="1"/>
  <c r="O78" i="6" s="1"/>
  <c r="P78" i="6" s="1"/>
  <c r="Q78" i="6" s="1"/>
  <c r="R78" i="6" s="1"/>
  <c r="S78" i="6" s="1"/>
  <c r="T78" i="6" s="1"/>
  <c r="U78" i="6" s="1"/>
  <c r="L78" i="6"/>
  <c r="K78" i="6"/>
  <c r="G78" i="6"/>
  <c r="F78" i="6"/>
  <c r="M77" i="6"/>
  <c r="N77" i="6" s="1"/>
  <c r="O77" i="6" s="1"/>
  <c r="P77" i="6" s="1"/>
  <c r="Q77" i="6" s="1"/>
  <c r="R77" i="6" s="1"/>
  <c r="S77" i="6" s="1"/>
  <c r="T77" i="6" s="1"/>
  <c r="U77" i="6" s="1"/>
  <c r="L77" i="6"/>
  <c r="K77" i="6"/>
  <c r="G77" i="6"/>
  <c r="F77" i="6"/>
  <c r="M76" i="6"/>
  <c r="N76" i="6" s="1"/>
  <c r="O76" i="6" s="1"/>
  <c r="P76" i="6" s="1"/>
  <c r="Q76" i="6" s="1"/>
  <c r="R76" i="6" s="1"/>
  <c r="S76" i="6" s="1"/>
  <c r="T76" i="6" s="1"/>
  <c r="U76" i="6" s="1"/>
  <c r="L76" i="6"/>
  <c r="K76" i="6"/>
  <c r="G76" i="6"/>
  <c r="F76" i="6"/>
  <c r="M75" i="6"/>
  <c r="N75" i="6" s="1"/>
  <c r="O75" i="6" s="1"/>
  <c r="P75" i="6" s="1"/>
  <c r="Q75" i="6" s="1"/>
  <c r="R75" i="6" s="1"/>
  <c r="S75" i="6" s="1"/>
  <c r="T75" i="6" s="1"/>
  <c r="U75" i="6" s="1"/>
  <c r="L75" i="6"/>
  <c r="K75" i="6"/>
  <c r="G75" i="6"/>
  <c r="F75" i="6"/>
  <c r="M74" i="6"/>
  <c r="N74" i="6" s="1"/>
  <c r="O74" i="6" s="1"/>
  <c r="P74" i="6" s="1"/>
  <c r="Q74" i="6" s="1"/>
  <c r="R74" i="6" s="1"/>
  <c r="S74" i="6" s="1"/>
  <c r="T74" i="6" s="1"/>
  <c r="U74" i="6" s="1"/>
  <c r="L74" i="6"/>
  <c r="K74" i="6"/>
  <c r="G74" i="6"/>
  <c r="F74" i="6"/>
  <c r="M73" i="6"/>
  <c r="N73" i="6" s="1"/>
  <c r="O73" i="6" s="1"/>
  <c r="P73" i="6" s="1"/>
  <c r="Q73" i="6" s="1"/>
  <c r="R73" i="6" s="1"/>
  <c r="S73" i="6" s="1"/>
  <c r="T73" i="6" s="1"/>
  <c r="U73" i="6" s="1"/>
  <c r="L73" i="6"/>
  <c r="K73" i="6"/>
  <c r="G73" i="6"/>
  <c r="F73" i="6"/>
  <c r="M72" i="6"/>
  <c r="N72" i="6" s="1"/>
  <c r="O72" i="6" s="1"/>
  <c r="P72" i="6" s="1"/>
  <c r="Q72" i="6" s="1"/>
  <c r="R72" i="6" s="1"/>
  <c r="S72" i="6" s="1"/>
  <c r="T72" i="6" s="1"/>
  <c r="U72" i="6" s="1"/>
  <c r="L72" i="6"/>
  <c r="K72" i="6"/>
  <c r="G72" i="6"/>
  <c r="F72" i="6"/>
  <c r="M71" i="6"/>
  <c r="N71" i="6" s="1"/>
  <c r="O71" i="6" s="1"/>
  <c r="P71" i="6" s="1"/>
  <c r="Q71" i="6" s="1"/>
  <c r="R71" i="6" s="1"/>
  <c r="S71" i="6" s="1"/>
  <c r="T71" i="6" s="1"/>
  <c r="U71" i="6" s="1"/>
  <c r="L71" i="6"/>
  <c r="K71" i="6"/>
  <c r="G71" i="6"/>
  <c r="F71" i="6"/>
  <c r="M70" i="6"/>
  <c r="N70" i="6" s="1"/>
  <c r="O70" i="6" s="1"/>
  <c r="P70" i="6" s="1"/>
  <c r="Q70" i="6" s="1"/>
  <c r="R70" i="6" s="1"/>
  <c r="S70" i="6" s="1"/>
  <c r="T70" i="6" s="1"/>
  <c r="U70" i="6" s="1"/>
  <c r="L70" i="6"/>
  <c r="K70" i="6"/>
  <c r="G70" i="6"/>
  <c r="F70" i="6"/>
  <c r="M69" i="6"/>
  <c r="N69" i="6" s="1"/>
  <c r="O69" i="6" s="1"/>
  <c r="P69" i="6" s="1"/>
  <c r="Q69" i="6" s="1"/>
  <c r="R69" i="6" s="1"/>
  <c r="S69" i="6" s="1"/>
  <c r="T69" i="6" s="1"/>
  <c r="U69" i="6" s="1"/>
  <c r="L69" i="6"/>
  <c r="K69" i="6"/>
  <c r="G69" i="6"/>
  <c r="F69" i="6"/>
  <c r="M68" i="6"/>
  <c r="N68" i="6" s="1"/>
  <c r="O68" i="6" s="1"/>
  <c r="P68" i="6" s="1"/>
  <c r="Q68" i="6" s="1"/>
  <c r="R68" i="6" s="1"/>
  <c r="S68" i="6" s="1"/>
  <c r="T68" i="6" s="1"/>
  <c r="U68" i="6" s="1"/>
  <c r="L68" i="6"/>
  <c r="K68" i="6"/>
  <c r="G68" i="6"/>
  <c r="F68" i="6"/>
  <c r="M67" i="6"/>
  <c r="N67" i="6" s="1"/>
  <c r="O67" i="6" s="1"/>
  <c r="P67" i="6" s="1"/>
  <c r="Q67" i="6" s="1"/>
  <c r="R67" i="6" s="1"/>
  <c r="S67" i="6" s="1"/>
  <c r="T67" i="6" s="1"/>
  <c r="U67" i="6" s="1"/>
  <c r="L67" i="6"/>
  <c r="K67" i="6"/>
  <c r="G67" i="6"/>
  <c r="F67" i="6"/>
  <c r="M66" i="6"/>
  <c r="N66" i="6" s="1"/>
  <c r="O66" i="6" s="1"/>
  <c r="P66" i="6" s="1"/>
  <c r="Q66" i="6" s="1"/>
  <c r="R66" i="6" s="1"/>
  <c r="S66" i="6" s="1"/>
  <c r="T66" i="6" s="1"/>
  <c r="U66" i="6" s="1"/>
  <c r="L66" i="6"/>
  <c r="K66" i="6"/>
  <c r="G66" i="6"/>
  <c r="F66" i="6"/>
  <c r="M65" i="6"/>
  <c r="N65" i="6" s="1"/>
  <c r="O65" i="6" s="1"/>
  <c r="P65" i="6" s="1"/>
  <c r="Q65" i="6" s="1"/>
  <c r="R65" i="6" s="1"/>
  <c r="S65" i="6" s="1"/>
  <c r="T65" i="6" s="1"/>
  <c r="U65" i="6" s="1"/>
  <c r="L65" i="6"/>
  <c r="K65" i="6"/>
  <c r="G65" i="6"/>
  <c r="F65" i="6"/>
  <c r="M64" i="6"/>
  <c r="N64" i="6" s="1"/>
  <c r="O64" i="6" s="1"/>
  <c r="P64" i="6" s="1"/>
  <c r="Q64" i="6" s="1"/>
  <c r="R64" i="6" s="1"/>
  <c r="S64" i="6" s="1"/>
  <c r="T64" i="6" s="1"/>
  <c r="U64" i="6" s="1"/>
  <c r="L64" i="6"/>
  <c r="K64" i="6"/>
  <c r="G64" i="6"/>
  <c r="F64" i="6"/>
  <c r="M63" i="6"/>
  <c r="N63" i="6" s="1"/>
  <c r="O63" i="6" s="1"/>
  <c r="P63" i="6" s="1"/>
  <c r="Q63" i="6" s="1"/>
  <c r="R63" i="6" s="1"/>
  <c r="S63" i="6" s="1"/>
  <c r="T63" i="6" s="1"/>
  <c r="U63" i="6" s="1"/>
  <c r="L63" i="6"/>
  <c r="K63" i="6"/>
  <c r="G63" i="6"/>
  <c r="F63" i="6"/>
  <c r="M62" i="6"/>
  <c r="N62" i="6" s="1"/>
  <c r="O62" i="6" s="1"/>
  <c r="P62" i="6" s="1"/>
  <c r="Q62" i="6" s="1"/>
  <c r="R62" i="6" s="1"/>
  <c r="S62" i="6" s="1"/>
  <c r="T62" i="6" s="1"/>
  <c r="U62" i="6" s="1"/>
  <c r="L62" i="6"/>
  <c r="K62" i="6"/>
  <c r="G62" i="6"/>
  <c r="F62" i="6"/>
  <c r="M61" i="6"/>
  <c r="N61" i="6" s="1"/>
  <c r="O61" i="6" s="1"/>
  <c r="P61" i="6" s="1"/>
  <c r="Q61" i="6" s="1"/>
  <c r="R61" i="6" s="1"/>
  <c r="S61" i="6" s="1"/>
  <c r="T61" i="6" s="1"/>
  <c r="U61" i="6" s="1"/>
  <c r="L61" i="6"/>
  <c r="K61" i="6"/>
  <c r="G61" i="6"/>
  <c r="F61" i="6"/>
  <c r="M60" i="6"/>
  <c r="N60" i="6" s="1"/>
  <c r="O60" i="6" s="1"/>
  <c r="P60" i="6" s="1"/>
  <c r="Q60" i="6" s="1"/>
  <c r="R60" i="6" s="1"/>
  <c r="S60" i="6" s="1"/>
  <c r="T60" i="6" s="1"/>
  <c r="U60" i="6" s="1"/>
  <c r="L60" i="6"/>
  <c r="K60" i="6"/>
  <c r="G60" i="6"/>
  <c r="F60" i="6"/>
  <c r="M59" i="6"/>
  <c r="N59" i="6" s="1"/>
  <c r="O59" i="6" s="1"/>
  <c r="P59" i="6" s="1"/>
  <c r="Q59" i="6" s="1"/>
  <c r="R59" i="6" s="1"/>
  <c r="S59" i="6" s="1"/>
  <c r="T59" i="6" s="1"/>
  <c r="U59" i="6" s="1"/>
  <c r="L59" i="6"/>
  <c r="K59" i="6"/>
  <c r="G59" i="6"/>
  <c r="F59" i="6"/>
  <c r="S58" i="6"/>
  <c r="T58" i="6" s="1"/>
  <c r="U58" i="6" s="1"/>
  <c r="G58" i="6"/>
  <c r="S57" i="6"/>
  <c r="T57" i="6" s="1"/>
  <c r="U57" i="6" s="1"/>
  <c r="G57" i="6"/>
  <c r="S56" i="6"/>
  <c r="T56" i="6" s="1"/>
  <c r="U56" i="6" s="1"/>
  <c r="G56" i="6"/>
  <c r="S55" i="6"/>
  <c r="T55" i="6" s="1"/>
  <c r="U55" i="6" s="1"/>
  <c r="G55" i="6"/>
  <c r="S54" i="6"/>
  <c r="T54" i="6" s="1"/>
  <c r="U54" i="6" s="1"/>
  <c r="F54" i="6"/>
  <c r="K54" i="6" s="1"/>
  <c r="F53" i="6"/>
  <c r="K53" i="6" s="1"/>
  <c r="F50" i="6"/>
  <c r="K50" i="6" s="1"/>
  <c r="F49" i="6"/>
  <c r="K49" i="6" s="1"/>
  <c r="F48" i="6"/>
  <c r="K48" i="6" s="1"/>
  <c r="F47" i="6"/>
  <c r="K47" i="6" s="1"/>
  <c r="F43" i="6"/>
  <c r="K43" i="6" s="1"/>
  <c r="L41" i="6"/>
  <c r="F41" i="6" s="1"/>
  <c r="K41" i="6" s="1"/>
  <c r="L40" i="6"/>
  <c r="F40" i="6" s="1"/>
  <c r="K40" i="6" s="1"/>
  <c r="L39" i="6"/>
  <c r="F39" i="6" s="1"/>
  <c r="K39" i="6" s="1"/>
  <c r="L38" i="6"/>
  <c r="F38" i="6" s="1"/>
  <c r="K38" i="6" s="1"/>
  <c r="L37" i="6"/>
  <c r="F37" i="6" s="1"/>
  <c r="K37" i="6" s="1"/>
  <c r="L34" i="6"/>
  <c r="F34" i="6" s="1"/>
  <c r="K34" i="6" s="1"/>
  <c r="L33" i="6"/>
  <c r="F33" i="6" s="1"/>
  <c r="K33" i="6" s="1"/>
  <c r="L32" i="6"/>
  <c r="F32" i="6" s="1"/>
  <c r="K32" i="6" s="1"/>
  <c r="L31" i="6"/>
  <c r="F31" i="6" s="1"/>
  <c r="K31" i="6" s="1"/>
  <c r="L30" i="6"/>
  <c r="F30" i="6" s="1"/>
  <c r="K30" i="6" s="1"/>
  <c r="L29" i="6"/>
  <c r="F29" i="6" s="1"/>
  <c r="K29" i="6" s="1"/>
  <c r="L28" i="6"/>
  <c r="F28" i="6" s="1"/>
  <c r="K28" i="6" s="1"/>
  <c r="L27" i="6"/>
  <c r="F27" i="6" s="1"/>
  <c r="K27" i="6" s="1"/>
  <c r="L26" i="6"/>
  <c r="F26" i="6" s="1"/>
  <c r="K26" i="6" s="1"/>
  <c r="L24" i="6"/>
  <c r="F24" i="6" s="1"/>
  <c r="K24" i="6" s="1"/>
  <c r="L23" i="6"/>
  <c r="F23" i="6" s="1"/>
  <c r="K23" i="6" s="1"/>
  <c r="L22" i="6"/>
  <c r="F22" i="6" s="1"/>
  <c r="K22" i="6" s="1"/>
  <c r="L21" i="6"/>
  <c r="F21" i="6" s="1"/>
  <c r="K21" i="6" s="1"/>
  <c r="L20" i="6"/>
  <c r="F20" i="6" s="1"/>
  <c r="K20" i="6" s="1"/>
  <c r="L19" i="6"/>
  <c r="F19" i="6" s="1"/>
  <c r="K19" i="6" s="1"/>
  <c r="L18" i="6"/>
  <c r="F18" i="6" s="1"/>
  <c r="K18" i="6" s="1"/>
  <c r="L17" i="6"/>
  <c r="F17" i="6" s="1"/>
  <c r="K17" i="6" s="1"/>
  <c r="L16" i="6"/>
  <c r="F16" i="6" s="1"/>
  <c r="K16" i="6" s="1"/>
  <c r="L15" i="6"/>
  <c r="F15" i="6" s="1"/>
  <c r="K15" i="6" s="1"/>
  <c r="L14" i="6"/>
  <c r="F14" i="6" s="1"/>
  <c r="K14" i="6" s="1"/>
  <c r="L13" i="6"/>
  <c r="F13" i="6" s="1"/>
  <c r="K13" i="6" s="1"/>
  <c r="F12" i="6"/>
  <c r="K12" i="6" s="1"/>
  <c r="F9" i="6"/>
  <c r="K9" i="6" s="1"/>
  <c r="F8" i="6"/>
  <c r="K8" i="6" s="1"/>
  <c r="L6" i="6"/>
  <c r="F6" i="6" s="1"/>
  <c r="K6" i="6" s="1"/>
  <c r="L5" i="6"/>
  <c r="H5" i="6"/>
  <c r="G25" i="6" l="1"/>
  <c r="G11" i="6"/>
  <c r="F5" i="6"/>
  <c r="K5" i="6" s="1"/>
  <c r="F57" i="6"/>
  <c r="K57" i="6" s="1"/>
  <c r="F58" i="6"/>
  <c r="K58" i="6" s="1"/>
  <c r="G9" i="6"/>
  <c r="F56" i="6"/>
  <c r="K56" i="6" s="1"/>
  <c r="F55" i="6"/>
  <c r="K55" i="6" s="1"/>
  <c r="G6" i="6"/>
  <c r="G26" i="6"/>
  <c r="G50" i="6"/>
  <c r="G53" i="6"/>
  <c r="G8" i="6"/>
  <c r="G27" i="6"/>
  <c r="G28" i="6"/>
  <c r="G29" i="6"/>
  <c r="G30" i="6"/>
  <c r="G31" i="6"/>
  <c r="G32" i="6"/>
  <c r="G33" i="6"/>
  <c r="G34" i="6"/>
  <c r="G37" i="6"/>
  <c r="G38" i="6"/>
  <c r="G39" i="6"/>
  <c r="G40" i="6"/>
  <c r="G41" i="6"/>
  <c r="G43" i="6"/>
  <c r="G47" i="6"/>
  <c r="G48" i="6"/>
  <c r="G49" i="6"/>
  <c r="G5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C213" i="6" l="1"/>
  <c r="I213" i="6"/>
  <c r="D213" i="6"/>
  <c r="C214" i="6" l="1"/>
  <c r="H213" i="6"/>
  <c r="H214" i="6" s="1"/>
</calcChain>
</file>

<file path=xl/sharedStrings.xml><?xml version="1.0" encoding="utf-8"?>
<sst xmlns="http://schemas.openxmlformats.org/spreadsheetml/2006/main" count="3307" uniqueCount="1360">
  <si>
    <t>Cl.
CGNC</t>
  </si>
  <si>
    <t>N° Cpt
Maroc</t>
  </si>
  <si>
    <t>Intitulé Compte Marocain (CGNC)</t>
  </si>
  <si>
    <t>Statut</t>
  </si>
  <si>
    <t>N° Cpt
France</t>
  </si>
  <si>
    <t>Intitulé Compte Français (PCG)</t>
  </si>
  <si>
    <t>Cl.
PCG</t>
  </si>
  <si>
    <t>Observations / Divergences</t>
  </si>
  <si>
    <t>Clé recherche
(sans zéros fin)</t>
  </si>
  <si>
    <t xml:space="preserve">  CLASSE 1 — COMPTES DE FINANCEMENT PERMANENT (CGNC)  →  CLASSE 1 — COMPTES DE CAPITAUX (PCG)</t>
  </si>
  <si>
    <t>1</t>
  </si>
  <si>
    <t>111</t>
  </si>
  <si>
    <t>Capital social ou personnel</t>
  </si>
  <si>
    <t>✓</t>
  </si>
  <si>
    <t>101</t>
  </si>
  <si>
    <t>Capital</t>
  </si>
  <si>
    <t>Identique</t>
  </si>
  <si>
    <t>1111</t>
  </si>
  <si>
    <t>Capital social</t>
  </si>
  <si>
    <t>1013</t>
  </si>
  <si>
    <t>Capital souscrit - appelé, versé</t>
  </si>
  <si>
    <t>Correspondance directe</t>
  </si>
  <si>
    <t>1112</t>
  </si>
  <si>
    <t>Fonds de dotation</t>
  </si>
  <si>
    <t>≈</t>
  </si>
  <si>
    <t>108</t>
  </si>
  <si>
    <t>Compte de l'exploitant</t>
  </si>
  <si>
    <t>Spécifique associations marocaines</t>
  </si>
  <si>
    <t>1117</t>
  </si>
  <si>
    <t>Capital personnel</t>
  </si>
  <si>
    <t>EI/profession libérale</t>
  </si>
  <si>
    <t>1119</t>
  </si>
  <si>
    <t>Actionnaires, capital souscrit non appelé</t>
  </si>
  <si>
    <t>109</t>
  </si>
  <si>
    <t>Actionnaires : capital souscrit - non appelé</t>
  </si>
  <si>
    <t>Identique - solde déducteur</t>
  </si>
  <si>
    <t>112</t>
  </si>
  <si>
    <t>Primes d'émission, de fusion et d'apport</t>
  </si>
  <si>
    <t>104</t>
  </si>
  <si>
    <t>Primes liées au capital</t>
  </si>
  <si>
    <t>Même nature</t>
  </si>
  <si>
    <t>1121</t>
  </si>
  <si>
    <t>Primes d'émission</t>
  </si>
  <si>
    <t>1041</t>
  </si>
  <si>
    <t>1122</t>
  </si>
  <si>
    <t>Primes de fusion</t>
  </si>
  <si>
    <t>1042</t>
  </si>
  <si>
    <t>1123</t>
  </si>
  <si>
    <t>Primes d'apport</t>
  </si>
  <si>
    <t>1043</t>
  </si>
  <si>
    <t>113</t>
  </si>
  <si>
    <t>Ecarts de réévaluation</t>
  </si>
  <si>
    <t>105</t>
  </si>
  <si>
    <t>Écarts de réévaluation</t>
  </si>
  <si>
    <t>114</t>
  </si>
  <si>
    <t>Réserve légale</t>
  </si>
  <si>
    <t>1061</t>
  </si>
  <si>
    <t>115</t>
  </si>
  <si>
    <t>Autres réserves</t>
  </si>
  <si>
    <t>106</t>
  </si>
  <si>
    <t>Réserves</t>
  </si>
  <si>
    <t>Regroupement en 106 France</t>
  </si>
  <si>
    <t>1151</t>
  </si>
  <si>
    <t>Réserves statutaires ou contractuelles</t>
  </si>
  <si>
    <t>1063</t>
  </si>
  <si>
    <t>1152</t>
  </si>
  <si>
    <t>Réserves facultatives</t>
  </si>
  <si>
    <t>1068</t>
  </si>
  <si>
    <t>1155</t>
  </si>
  <si>
    <t>Réserves réglementées</t>
  </si>
  <si>
    <t>1064</t>
  </si>
  <si>
    <t>1161</t>
  </si>
  <si>
    <t>Report à nouveau (créditeur)</t>
  </si>
  <si>
    <t>110</t>
  </si>
  <si>
    <t>Report à nouveau - solde créditeur</t>
  </si>
  <si>
    <t>1169</t>
  </si>
  <si>
    <t>Report à nouveau (débiteur)</t>
  </si>
  <si>
    <t>119</t>
  </si>
  <si>
    <t>Report à nouveau - solde débiteur</t>
  </si>
  <si>
    <t>1181</t>
  </si>
  <si>
    <t>Résultats nets en instance d'affectation (créditeur)</t>
  </si>
  <si>
    <t>120</t>
  </si>
  <si>
    <t>Résultat de l'exercice - bénéfice</t>
  </si>
  <si>
    <t>Avant affectation en AG</t>
  </si>
  <si>
    <t>1189</t>
  </si>
  <si>
    <t>Résultats nets en instance d'affectation (débiteur)</t>
  </si>
  <si>
    <t>129</t>
  </si>
  <si>
    <t>Résultat de l'exercice - perte</t>
  </si>
  <si>
    <t>Perte avant affectation</t>
  </si>
  <si>
    <t>1191</t>
  </si>
  <si>
    <t>Résultat net de l'exercice (créditeur)</t>
  </si>
  <si>
    <t>1199</t>
  </si>
  <si>
    <t>Résultat net de l'exercice (débiteur)</t>
  </si>
  <si>
    <t>1311</t>
  </si>
  <si>
    <t>Subventions d'investissement reçues</t>
  </si>
  <si>
    <t>131</t>
  </si>
  <si>
    <t>Subventions d'investissement octroyées</t>
  </si>
  <si>
    <t>1319</t>
  </si>
  <si>
    <t>Subventions d'investissement inscrites au CPC</t>
  </si>
  <si>
    <t>139</t>
  </si>
  <si>
    <t>Subventions d'investissement inscrites au compte de résultat</t>
  </si>
  <si>
    <t>135</t>
  </si>
  <si>
    <t>Provisions réglementées</t>
  </si>
  <si>
    <t>14</t>
  </si>
  <si>
    <t>Même catégorie</t>
  </si>
  <si>
    <t>1351</t>
  </si>
  <si>
    <t>Provisions pour amortissements dérogatoires</t>
  </si>
  <si>
    <t>145</t>
  </si>
  <si>
    <t>Amortissements dérogatoires</t>
  </si>
  <si>
    <t>1352</t>
  </si>
  <si>
    <t>Provisions pour plus-values en instance d'imposition</t>
  </si>
  <si>
    <t>148</t>
  </si>
  <si>
    <t>Autres provisions réglementées</t>
  </si>
  <si>
    <t>1354</t>
  </si>
  <si>
    <t>Provisions pour investissements</t>
  </si>
  <si>
    <t>1355</t>
  </si>
  <si>
    <t>Provisions pour reconstitution des gisements</t>
  </si>
  <si>
    <t>Industries extractives</t>
  </si>
  <si>
    <t>1356</t>
  </si>
  <si>
    <t>Provisions pour acquisition et construction de logements</t>
  </si>
  <si>
    <t>⚠</t>
  </si>
  <si>
    <t>⚠ Spécifique régime fiscal marocain - pas d'équivalent exact France</t>
  </si>
  <si>
    <t>1358</t>
  </si>
  <si>
    <t>141</t>
  </si>
  <si>
    <t>Emprunts obligataires</t>
  </si>
  <si>
    <t>161 / 163</t>
  </si>
  <si>
    <t>Emprunts obligataires convertibles / Autres emprunts obligataires</t>
  </si>
  <si>
    <t>Selon convertible ou non</t>
  </si>
  <si>
    <t>1481</t>
  </si>
  <si>
    <t>Emprunts auprès des établissements de crédit</t>
  </si>
  <si>
    <t>164</t>
  </si>
  <si>
    <t>1482</t>
  </si>
  <si>
    <t>Avances de l'Etat</t>
  </si>
  <si>
    <t>1673</t>
  </si>
  <si>
    <t>Avances conditionnées montant principal</t>
  </si>
  <si>
    <t>France : avances conditionnées (fonds non remboursables)</t>
  </si>
  <si>
    <t>1483</t>
  </si>
  <si>
    <t>Dettes rattachées à des participations</t>
  </si>
  <si>
    <t>171 / 174</t>
  </si>
  <si>
    <t>Dettes rattachées à des participations groupe/hors groupe</t>
  </si>
  <si>
    <t>Selon nature</t>
  </si>
  <si>
    <t>1484</t>
  </si>
  <si>
    <t>Billets de fonds</t>
  </si>
  <si>
    <t>1681</t>
  </si>
  <si>
    <t>Autres emprunts</t>
  </si>
  <si>
    <t>⚠ Spécifique Maroc (cession fonds de commerce paiement différé) - à qualifier en France</t>
  </si>
  <si>
    <t>1485</t>
  </si>
  <si>
    <t>Avances reçues et comptes courants bloqués</t>
  </si>
  <si>
    <t>455</t>
  </si>
  <si>
    <t>Associés - Comptes courants</t>
  </si>
  <si>
    <t>Ou 1671 si fonds non remboursable</t>
  </si>
  <si>
    <t>1486</t>
  </si>
  <si>
    <t>Fournisseurs d'immobilisation</t>
  </si>
  <si>
    <t>404</t>
  </si>
  <si>
    <t>Fournisseurs d'immobilisations</t>
  </si>
  <si>
    <t>4</t>
  </si>
  <si>
    <t>⚠ France : compte de tiers cl.4 - Maroc : dette de financement cl.1</t>
  </si>
  <si>
    <t>1487</t>
  </si>
  <si>
    <t>Dépôts et cautionnements reçus</t>
  </si>
  <si>
    <t>165</t>
  </si>
  <si>
    <t>1488</t>
  </si>
  <si>
    <t>Dettes de financement diverses</t>
  </si>
  <si>
    <t>1687</t>
  </si>
  <si>
    <t>Autres dettes</t>
  </si>
  <si>
    <t>1511</t>
  </si>
  <si>
    <t>Provisions pour litiges</t>
  </si>
  <si>
    <t>1512</t>
  </si>
  <si>
    <t>Provisions pour garanties données aux clients</t>
  </si>
  <si>
    <t>1513</t>
  </si>
  <si>
    <t>Provisions pour propre assureur</t>
  </si>
  <si>
    <t>1518</t>
  </si>
  <si>
    <t>Autres provisions pour risques</t>
  </si>
  <si>
    <t>France : pratique rare - à documenter</t>
  </si>
  <si>
    <t>1514</t>
  </si>
  <si>
    <t>Provisions pour pertes sur marchés à terme</t>
  </si>
  <si>
    <t>1516</t>
  </si>
  <si>
    <t>Provisions pour pertes sur contrats</t>
  </si>
  <si>
    <t>1515</t>
  </si>
  <si>
    <t>Provisions pour amendes, doubles droits, pénalités</t>
  </si>
  <si>
    <t>Provisions pour amendes et pénalités</t>
  </si>
  <si>
    <t>Provisions pour pertes de change</t>
  </si>
  <si>
    <t>1551</t>
  </si>
  <si>
    <t>Provisions pour impôts</t>
  </si>
  <si>
    <t>1523</t>
  </si>
  <si>
    <t>1552</t>
  </si>
  <si>
    <t>Provisions pour pensions de retraite et obligations similaires</t>
  </si>
  <si>
    <t>1521</t>
  </si>
  <si>
    <t>Provisions pour pensions et obligations similaires</t>
  </si>
  <si>
    <t>⚠ France : provisionnement TOTAL obligatoire (méthode référence) - Maroc : seulement si fonds interne</t>
  </si>
  <si>
    <t>1555</t>
  </si>
  <si>
    <t>Provisions pour charges à répartir sur plusieurs exercices</t>
  </si>
  <si>
    <t>1525</t>
  </si>
  <si>
    <t>Provisions pour gros entretien ou grandes révisions</t>
  </si>
  <si>
    <t>⚠ France : approche composants obligatoire Art.214-9 - Maroc : provision globale possible</t>
  </si>
  <si>
    <t>1558</t>
  </si>
  <si>
    <t>Autres provisions pour charges</t>
  </si>
  <si>
    <t>1527</t>
  </si>
  <si>
    <t>1601</t>
  </si>
  <si>
    <t>Comptes de liaison du siège</t>
  </si>
  <si>
    <t>181</t>
  </si>
  <si>
    <t>Comptes de liaison des établissements</t>
  </si>
  <si>
    <t>⚠ Maroc : soldage obligatoire fin exercice</t>
  </si>
  <si>
    <t>1605</t>
  </si>
  <si>
    <t>171</t>
  </si>
  <si>
    <t>Augmentation des créances immobilisées (écart conv.)</t>
  </si>
  <si>
    <t>4771</t>
  </si>
  <si>
    <t>Augmentation des créances</t>
  </si>
  <si>
    <t>⚠ Maroc : cl.1 - France : cl.4 - reclassement nécessaire</t>
  </si>
  <si>
    <t>172</t>
  </si>
  <si>
    <t>Diminution des dettes de financement (écart conv.)</t>
  </si>
  <si>
    <t>4772</t>
  </si>
  <si>
    <t>Diminution des dettes</t>
  </si>
  <si>
    <t xml:space="preserve">  CLASSE 2 — COMPTES D'ACTIF IMMOBILISÉ (CGNC)  →  CLASSE 2 — COMPTES D'IMMOBILISATIONS (PCG)</t>
  </si>
  <si>
    <t>2</t>
  </si>
  <si>
    <t>2111</t>
  </si>
  <si>
    <t>Frais de constitution</t>
  </si>
  <si>
    <t>2011</t>
  </si>
  <si>
    <t>⚠ France : activation possible mais PCG préconise passage en charges - choix de méthode à documenter</t>
  </si>
  <si>
    <t>2112</t>
  </si>
  <si>
    <t>Frais préalables au démarrage</t>
  </si>
  <si>
    <t>2012</t>
  </si>
  <si>
    <t>Frais de premier établissement</t>
  </si>
  <si>
    <t>France : 20121 prospection ou 20122 publicité selon nature</t>
  </si>
  <si>
    <t>2113</t>
  </si>
  <si>
    <t>Frais d'augmentation du capital</t>
  </si>
  <si>
    <t>2013</t>
  </si>
  <si>
    <t>Frais d'augmentation de capital et opérations diverses</t>
  </si>
  <si>
    <t>2114</t>
  </si>
  <si>
    <t>Frais sur fusions, scissions, transformations</t>
  </si>
  <si>
    <t>2116</t>
  </si>
  <si>
    <t>Frais de prospection</t>
  </si>
  <si>
    <t>20121</t>
  </si>
  <si>
    <t>2117</t>
  </si>
  <si>
    <t>Frais de publicité</t>
  </si>
  <si>
    <t>20122</t>
  </si>
  <si>
    <t>2118</t>
  </si>
  <si>
    <t>Autres frais préliminaires</t>
  </si>
  <si>
    <t>À ventiler selon nature</t>
  </si>
  <si>
    <t>212</t>
  </si>
  <si>
    <t>Charges à répartir sur plusieurs exercices</t>
  </si>
  <si>
    <t>486</t>
  </si>
  <si>
    <t>Charges constatées d'avance</t>
  </si>
  <si>
    <t>⚠ France : pas d'actif distinct - CCA en 486 (cl.4) ou frais émission en 481</t>
  </si>
  <si>
    <t>2121</t>
  </si>
  <si>
    <t>Frais d'acquisition des immobilisations</t>
  </si>
  <si>
    <t>2xxx</t>
  </si>
  <si>
    <t>Inclus dans le coût d'acquisition de l'immobilisation</t>
  </si>
  <si>
    <t>⚠ PCG Art.213-8 : frais accessoires incorporés au coût - pas de compte séparé</t>
  </si>
  <si>
    <t>2125</t>
  </si>
  <si>
    <t>Frais d'émission des emprunts</t>
  </si>
  <si>
    <t>481</t>
  </si>
  <si>
    <t>France : compte de régularisation actif (cl.4) - Maroc : actif immobilisé (cl.2)</t>
  </si>
  <si>
    <t>213</t>
  </si>
  <si>
    <t>Primes de remboursement des obligations</t>
  </si>
  <si>
    <t>169</t>
  </si>
  <si>
    <t>Primes de remboursement des emprunts</t>
  </si>
  <si>
    <t>⚠ Maroc : actif immobilisé cl.2 - France : déducteur du passif cl.1 (169)</t>
  </si>
  <si>
    <t>221</t>
  </si>
  <si>
    <t>Immobilisation en recherche et développement</t>
  </si>
  <si>
    <t>203</t>
  </si>
  <si>
    <t>Frais de développement</t>
  </si>
  <si>
    <t>⚠ France Art.212-3 : critères IAS 38 stricts - Maroc : critères moins détaillés</t>
  </si>
  <si>
    <t>222</t>
  </si>
  <si>
    <t>Brevets, marques, droits et valeurs similaires</t>
  </si>
  <si>
    <t>205</t>
  </si>
  <si>
    <t>Concessions, brevets, licences, marques, procédés, solutions informatiques</t>
  </si>
  <si>
    <t>223</t>
  </si>
  <si>
    <t>Fonds commercial</t>
  </si>
  <si>
    <t>207</t>
  </si>
  <si>
    <t>⚠ France : durée illimitée, pas d'amortissement systématique (test dépréciation) - Maroc : amortissement si perte de valeur</t>
  </si>
  <si>
    <t>228</t>
  </si>
  <si>
    <t>Autres immobilisations incorporelles</t>
  </si>
  <si>
    <t>208</t>
  </si>
  <si>
    <t>2311</t>
  </si>
  <si>
    <t>Terrains nus</t>
  </si>
  <si>
    <t>2312</t>
  </si>
  <si>
    <t>Terrains aménagés</t>
  </si>
  <si>
    <t>2313</t>
  </si>
  <si>
    <t>Terrains bâtis</t>
  </si>
  <si>
    <t>2115</t>
  </si>
  <si>
    <t>2314</t>
  </si>
  <si>
    <t>Terrains de gisement</t>
  </si>
  <si>
    <t>Terrains de carrières (Tréfonds)</t>
  </si>
  <si>
    <t>2316</t>
  </si>
  <si>
    <t>Agencements et aménagements de terrains</t>
  </si>
  <si>
    <t>2321</t>
  </si>
  <si>
    <t>Bâtiments</t>
  </si>
  <si>
    <t>2131</t>
  </si>
  <si>
    <t>⚠ France : approche composants OBLIGATOIRE (Art.214-9) - gros œuvre, façades, équipements séparés</t>
  </si>
  <si>
    <t>2323</t>
  </si>
  <si>
    <t>Constructions sur terrains d'autrui</t>
  </si>
  <si>
    <t>214</t>
  </si>
  <si>
    <t>Constructions sur sol d'autrui</t>
  </si>
  <si>
    <t>2325</t>
  </si>
  <si>
    <t>Ouvrages d'infrastructure</t>
  </si>
  <si>
    <t>2138</t>
  </si>
  <si>
    <t>2327</t>
  </si>
  <si>
    <t>Agencements et aménagements des constructions</t>
  </si>
  <si>
    <t>2135</t>
  </si>
  <si>
    <t>Installations générales - agencements - aménagements des constructions</t>
  </si>
  <si>
    <t>2331</t>
  </si>
  <si>
    <t>Installations techniques</t>
  </si>
  <si>
    <t>2151</t>
  </si>
  <si>
    <t>Installations complexes spécialisées</t>
  </si>
  <si>
    <t>2332</t>
  </si>
  <si>
    <t>Matériel et outillage</t>
  </si>
  <si>
    <t>2154 / 2155</t>
  </si>
  <si>
    <t>Matériels industriels / Outillages industriels</t>
  </si>
  <si>
    <t>2333</t>
  </si>
  <si>
    <t>Emballages récupérables identifiables</t>
  </si>
  <si>
    <t>2186</t>
  </si>
  <si>
    <t>Emballages récupérables</t>
  </si>
  <si>
    <t>234</t>
  </si>
  <si>
    <t>Matériel de transport</t>
  </si>
  <si>
    <t>2182</t>
  </si>
  <si>
    <t>2351</t>
  </si>
  <si>
    <t>Mobilier de bureau</t>
  </si>
  <si>
    <t>2184</t>
  </si>
  <si>
    <t>Mobilier</t>
  </si>
  <si>
    <t>2352</t>
  </si>
  <si>
    <t>Matériel de bureau</t>
  </si>
  <si>
    <t>2183</t>
  </si>
  <si>
    <t>Matériel de bureau et matériel informatique</t>
  </si>
  <si>
    <t>2355</t>
  </si>
  <si>
    <t>Matériel informatique</t>
  </si>
  <si>
    <t>2356</t>
  </si>
  <si>
    <t>Agencements, installations et aménagements divers (biens n'appart. pas à l'ent.)</t>
  </si>
  <si>
    <t>2181</t>
  </si>
  <si>
    <t>Installations générales, agencements, aménagements divers</t>
  </si>
  <si>
    <t>238</t>
  </si>
  <si>
    <t>Autres immobilisations corporelles</t>
  </si>
  <si>
    <t>218</t>
  </si>
  <si>
    <t>2392</t>
  </si>
  <si>
    <t>Immo. en cours des terrains et constructions</t>
  </si>
  <si>
    <t>231</t>
  </si>
  <si>
    <t>Immobilisations corporelles en cours</t>
  </si>
  <si>
    <t>2393</t>
  </si>
  <si>
    <t>Immo. en cours des installations techniques</t>
  </si>
  <si>
    <t>2394</t>
  </si>
  <si>
    <t>Immo. en cours de matériel de transport</t>
  </si>
  <si>
    <t>2395</t>
  </si>
  <si>
    <t>Immo. en cours de mobilier, matériel de bureau</t>
  </si>
  <si>
    <t>2397</t>
  </si>
  <si>
    <t>Avances et acomptes sur commandes immo. corporelles</t>
  </si>
  <si>
    <t>Avances et acomptes versés sur commandes d'immobilisations corporelles</t>
  </si>
  <si>
    <t>2415</t>
  </si>
  <si>
    <t>Prêts aux associés</t>
  </si>
  <si>
    <t>2742</t>
  </si>
  <si>
    <t>2416</t>
  </si>
  <si>
    <t>2761</t>
  </si>
  <si>
    <t>Créances diverses</t>
  </si>
  <si>
    <t>⚠ Spécifique Maroc (cession fonds de commerce) - France : créance immobilisée 276</t>
  </si>
  <si>
    <t>2418</t>
  </si>
  <si>
    <t>Autres prêts</t>
  </si>
  <si>
    <t>2748</t>
  </si>
  <si>
    <t>2441</t>
  </si>
  <si>
    <t>Prêts au personnel</t>
  </si>
  <si>
    <t>2743</t>
  </si>
  <si>
    <t>2481</t>
  </si>
  <si>
    <t>Titres immobilisés (droits de créance)</t>
  </si>
  <si>
    <t>272</t>
  </si>
  <si>
    <t>Titres immobilisés (droit de créance)</t>
  </si>
  <si>
    <t>2483</t>
  </si>
  <si>
    <t>Créances rattachées à des participations</t>
  </si>
  <si>
    <t>267</t>
  </si>
  <si>
    <t>2486</t>
  </si>
  <si>
    <t>Dépôts et cautionnements versés</t>
  </si>
  <si>
    <t>275</t>
  </si>
  <si>
    <t>2487</t>
  </si>
  <si>
    <t>Créances immobilisées diverses</t>
  </si>
  <si>
    <t>251</t>
  </si>
  <si>
    <t>Titres de participation</t>
  </si>
  <si>
    <t>261</t>
  </si>
  <si>
    <t>258</t>
  </si>
  <si>
    <t>Autres titres immobilisés</t>
  </si>
  <si>
    <t>271</t>
  </si>
  <si>
    <t>Titres immobilisés (droit de propriété)</t>
  </si>
  <si>
    <t>Diminution des créances immo. (écart conversion)</t>
  </si>
  <si>
    <t>4761</t>
  </si>
  <si>
    <t>Diminution des créances</t>
  </si>
  <si>
    <t>⚠ Maroc : cl.2 - France : cl.4 (476) - reclassement nécessaire</t>
  </si>
  <si>
    <t>Augmentation des dettes de financement (écart conv.)</t>
  </si>
  <si>
    <t>4762</t>
  </si>
  <si>
    <t>Augmentation des dettes</t>
  </si>
  <si>
    <t>28111</t>
  </si>
  <si>
    <t>Amortissements des frais de constitution</t>
  </si>
  <si>
    <t>2801</t>
  </si>
  <si>
    <t>Frais d'établissement (amortissements)</t>
  </si>
  <si>
    <t>28125</t>
  </si>
  <si>
    <t>Amortissements des frais d'émission des emprunts</t>
  </si>
  <si>
    <t>6861</t>
  </si>
  <si>
    <t>Dotations aux amortissements des primes de remboursement</t>
  </si>
  <si>
    <t>6</t>
  </si>
  <si>
    <t>France : charge cl.6 - Maroc : correcteur actif cl.2</t>
  </si>
  <si>
    <t>2821</t>
  </si>
  <si>
    <t>Amortissements de l'immo. en R&amp;D</t>
  </si>
  <si>
    <t>2803</t>
  </si>
  <si>
    <t>2822</t>
  </si>
  <si>
    <t>Amortissements des brevets, marques, droits</t>
  </si>
  <si>
    <t>2805</t>
  </si>
  <si>
    <t>Concessions, brevets, licences, solutions informatiques</t>
  </si>
  <si>
    <t>2823</t>
  </si>
  <si>
    <t>Amortissements du fonds commercial</t>
  </si>
  <si>
    <t>2807</t>
  </si>
  <si>
    <t>⚠ France : amortissement exceptionnel si perte - Maroc : amortissement prévu</t>
  </si>
  <si>
    <t>2831</t>
  </si>
  <si>
    <t>Amortissements des terrains</t>
  </si>
  <si>
    <t>—</t>
  </si>
  <si>
    <t>⚠ Terrains non amortissables en France sauf cas très spécifiques</t>
  </si>
  <si>
    <t>2832</t>
  </si>
  <si>
    <t>Amortissements des constructions</t>
  </si>
  <si>
    <t>2813</t>
  </si>
  <si>
    <t>Constructions</t>
  </si>
  <si>
    <t>2833</t>
  </si>
  <si>
    <t>Amortissements des installations techniques</t>
  </si>
  <si>
    <t>2815</t>
  </si>
  <si>
    <t>Installations, matériel et outillage industriels</t>
  </si>
  <si>
    <t>2834</t>
  </si>
  <si>
    <t>Amortissements du matériel de transport</t>
  </si>
  <si>
    <t>2818</t>
  </si>
  <si>
    <t>2835</t>
  </si>
  <si>
    <t>Amortissements du mobilier, matériel de bureau</t>
  </si>
  <si>
    <t>292</t>
  </si>
  <si>
    <t>Provisions pour dépréciation des immo. incorporelles</t>
  </si>
  <si>
    <t>290</t>
  </si>
  <si>
    <t>Dépréciations des immobilisations incorporelles</t>
  </si>
  <si>
    <t>293</t>
  </si>
  <si>
    <t>Provisions pour dépréciation des immo. corporelles</t>
  </si>
  <si>
    <t>291</t>
  </si>
  <si>
    <t>Dépréciations des immobilisations corporelles</t>
  </si>
  <si>
    <t>2941</t>
  </si>
  <si>
    <t>Provisions pour dépréciation des prêts immobilisés</t>
  </si>
  <si>
    <t>2974</t>
  </si>
  <si>
    <t>Prêts</t>
  </si>
  <si>
    <t>2951</t>
  </si>
  <si>
    <t>Provisions pour dépréciation des titres de participation</t>
  </si>
  <si>
    <t>2961</t>
  </si>
  <si>
    <t>2958</t>
  </si>
  <si>
    <t>Provisions pour dépréciation des autres titres</t>
  </si>
  <si>
    <t>2971</t>
  </si>
  <si>
    <t>Titres immobilisés</t>
  </si>
  <si>
    <t xml:space="preserve">  CLASSE 3 — ACTIF CIRCULANT HORS TRÉSORERIE (CGNC)  →  CLASSES 3 ET 4 (PCG) — DIFFÉRENCE ARCHITECTURALE MAJEURE</t>
  </si>
  <si>
    <t>3</t>
  </si>
  <si>
    <t>311</t>
  </si>
  <si>
    <t>Marchandises</t>
  </si>
  <si>
    <t>37</t>
  </si>
  <si>
    <t>Stocks de marchandises</t>
  </si>
  <si>
    <t>3121</t>
  </si>
  <si>
    <t>Matières premières</t>
  </si>
  <si>
    <t>31</t>
  </si>
  <si>
    <t>Matières premières et fournitures</t>
  </si>
  <si>
    <t>3122</t>
  </si>
  <si>
    <t>Matières et fournitures consommables</t>
  </si>
  <si>
    <t>321</t>
  </si>
  <si>
    <t>Matières consommables</t>
  </si>
  <si>
    <t>31223</t>
  </si>
  <si>
    <t>Combustibles</t>
  </si>
  <si>
    <t>3221</t>
  </si>
  <si>
    <t>31224</t>
  </si>
  <si>
    <t>Produits d'entretien</t>
  </si>
  <si>
    <t>3222</t>
  </si>
  <si>
    <t>31225</t>
  </si>
  <si>
    <t>Fournitures d'atelier et d'usine</t>
  </si>
  <si>
    <t>3223</t>
  </si>
  <si>
    <t>3123</t>
  </si>
  <si>
    <t>Emballages</t>
  </si>
  <si>
    <t>326</t>
  </si>
  <si>
    <t>313</t>
  </si>
  <si>
    <t>Produits en cours</t>
  </si>
  <si>
    <t>33</t>
  </si>
  <si>
    <t>En-cours de production de biens</t>
  </si>
  <si>
    <t>3134</t>
  </si>
  <si>
    <t>Services en cours</t>
  </si>
  <si>
    <t>34</t>
  </si>
  <si>
    <t>En-cours de production de services</t>
  </si>
  <si>
    <t>314</t>
  </si>
  <si>
    <t>Produits intermédiaires et produits résiduels</t>
  </si>
  <si>
    <t>35</t>
  </si>
  <si>
    <t>Stocks de produits</t>
  </si>
  <si>
    <t>315</t>
  </si>
  <si>
    <t>Produits finis</t>
  </si>
  <si>
    <t>355</t>
  </si>
  <si>
    <t>3411</t>
  </si>
  <si>
    <t>Fournisseurs - avances et acomptes versés sur commandes</t>
  </si>
  <si>
    <t>4091</t>
  </si>
  <si>
    <t>Fournisseurs - Avances et acomptes versés sur commandes</t>
  </si>
  <si>
    <t>⚠ Maroc : cl.3 - France : cl.4 - reclassement systématique</t>
  </si>
  <si>
    <t>3413</t>
  </si>
  <si>
    <t>Fournisseurs - créances pour emballages à rendre</t>
  </si>
  <si>
    <t>4096</t>
  </si>
  <si>
    <t>Fournisseurs - Créances pour emballages et matériel à rendre</t>
  </si>
  <si>
    <t>⚠ Reclassement cl.3 → cl.4</t>
  </si>
  <si>
    <t>3417</t>
  </si>
  <si>
    <t>Rabais, remises et ristournes à obtenir</t>
  </si>
  <si>
    <t>4098</t>
  </si>
  <si>
    <t>Rabais, remises, ristournes à obtenir et autres avoirs non encore reçus</t>
  </si>
  <si>
    <t>3421</t>
  </si>
  <si>
    <t>Clients</t>
  </si>
  <si>
    <t>411</t>
  </si>
  <si>
    <t>⚠ DIFFÉRENCE ARCHITECTURALE : Maroc cl.3 - France cl.4</t>
  </si>
  <si>
    <t>3423</t>
  </si>
  <si>
    <t>Clients - retenues de garantie</t>
  </si>
  <si>
    <t>4117</t>
  </si>
  <si>
    <t>Clients - Retenues de garantie</t>
  </si>
  <si>
    <t>3424</t>
  </si>
  <si>
    <t>Clients douteux ou litigieux</t>
  </si>
  <si>
    <t>416</t>
  </si>
  <si>
    <t>3425</t>
  </si>
  <si>
    <t>Clients - effets à recevoir</t>
  </si>
  <si>
    <t>413</t>
  </si>
  <si>
    <t>Clients - Effets à recevoir</t>
  </si>
  <si>
    <t>3427</t>
  </si>
  <si>
    <t>Clients - factures à établir</t>
  </si>
  <si>
    <t>4181</t>
  </si>
  <si>
    <t>Clients - Factures à établir</t>
  </si>
  <si>
    <t>343</t>
  </si>
  <si>
    <t>Personnel - débiteur</t>
  </si>
  <si>
    <t>425</t>
  </si>
  <si>
    <t>Personnel - Avances et acomptes</t>
  </si>
  <si>
    <t>⚠ Maroc : cl.3 - France : cl.4</t>
  </si>
  <si>
    <t>3431</t>
  </si>
  <si>
    <t>Avances et acomptes au personnel</t>
  </si>
  <si>
    <t>⚠ Reclassement</t>
  </si>
  <si>
    <t>3451</t>
  </si>
  <si>
    <t>Subventions à recevoir</t>
  </si>
  <si>
    <t>441</t>
  </si>
  <si>
    <t>État - Subventions et aides à recevoir</t>
  </si>
  <si>
    <t>3453</t>
  </si>
  <si>
    <t>Acomptes sur impôts sur les résultats</t>
  </si>
  <si>
    <t>444</t>
  </si>
  <si>
    <t>État - Impôts sur les bénéfices</t>
  </si>
  <si>
    <t>34551</t>
  </si>
  <si>
    <t>Etat - TVA récupérable sur immobilisations</t>
  </si>
  <si>
    <t>44562</t>
  </si>
  <si>
    <t>TVA sur immobilisations</t>
  </si>
  <si>
    <t>34552</t>
  </si>
  <si>
    <t>Etat - TVA récupérable sur charges</t>
  </si>
  <si>
    <t>44566</t>
  </si>
  <si>
    <t>TVA sur autres biens et services</t>
  </si>
  <si>
    <t>3456</t>
  </si>
  <si>
    <t>Etat - crédit de TVA (suivant déclaration)</t>
  </si>
  <si>
    <t>44567</t>
  </si>
  <si>
    <t>Crédit de TVA à reporter</t>
  </si>
  <si>
    <t>3463</t>
  </si>
  <si>
    <t>Comptes courants des associés débiteurs</t>
  </si>
  <si>
    <t>3481</t>
  </si>
  <si>
    <t>Créances sur cessions d'immobilisations</t>
  </si>
  <si>
    <t>462</t>
  </si>
  <si>
    <t>3491</t>
  </si>
  <si>
    <t>3497</t>
  </si>
  <si>
    <t>Comptes transitoires ou d'attente - débiteurs</t>
  </si>
  <si>
    <t>471</t>
  </si>
  <si>
    <t>Comptes d'attente</t>
  </si>
  <si>
    <t>350</t>
  </si>
  <si>
    <t>Titres et valeurs de placement</t>
  </si>
  <si>
    <t>503 / 506</t>
  </si>
  <si>
    <t>Actions / Obligations</t>
  </si>
  <si>
    <t>5</t>
  </si>
  <si>
    <t>⚠ Maroc : cl.3 - France : cl.5 - reclassement</t>
  </si>
  <si>
    <t>3501</t>
  </si>
  <si>
    <t>Actions, partie libérée</t>
  </si>
  <si>
    <t>503</t>
  </si>
  <si>
    <t>Actions</t>
  </si>
  <si>
    <t>⚠ Reclassement cl.3 → cl.5</t>
  </si>
  <si>
    <t>3504</t>
  </si>
  <si>
    <t>Obligations</t>
  </si>
  <si>
    <t>506</t>
  </si>
  <si>
    <t>3506</t>
  </si>
  <si>
    <t>Bons de caisse et bons de trésor</t>
  </si>
  <si>
    <t>507</t>
  </si>
  <si>
    <t>Bons du Trésor et bons de caisse à court terme</t>
  </si>
  <si>
    <t>3701</t>
  </si>
  <si>
    <t>Diminution des créances circulantes (écart conv.)</t>
  </si>
  <si>
    <t>Reclassement cl.3 → cl.4</t>
  </si>
  <si>
    <t>3702</t>
  </si>
  <si>
    <t>Augmentation des dettes circulantes (écart conv.)</t>
  </si>
  <si>
    <t>391</t>
  </si>
  <si>
    <t>Provisions pour dépréciation des stocks</t>
  </si>
  <si>
    <t>39</t>
  </si>
  <si>
    <t>Dépréciations des stocks et en-cours</t>
  </si>
  <si>
    <t>Même classe 3 - identique</t>
  </si>
  <si>
    <t>3942</t>
  </si>
  <si>
    <t>Provisions pour dépréciation des clients</t>
  </si>
  <si>
    <t>491</t>
  </si>
  <si>
    <t>Dépréciations des comptes de clients</t>
  </si>
  <si>
    <t>395</t>
  </si>
  <si>
    <t>Provisions pour dépréciation des TVP</t>
  </si>
  <si>
    <t>590</t>
  </si>
  <si>
    <t>Dépréciations des valeurs mobilières de placement</t>
  </si>
  <si>
    <t xml:space="preserve">  CLASSE 4 — PASSIF CIRCULANT HORS TRÉSORERIE (CGNC)  →  CLASSE 4 — COMPTES DE TIERS (PCG)</t>
  </si>
  <si>
    <t>4411</t>
  </si>
  <si>
    <t>Fournisseurs</t>
  </si>
  <si>
    <t>401</t>
  </si>
  <si>
    <t>⚠ Maroc : 441x - France : 401x - numérotation différente</t>
  </si>
  <si>
    <t>4413</t>
  </si>
  <si>
    <t>Fournisseurs - retenues de garantie</t>
  </si>
  <si>
    <t>4017</t>
  </si>
  <si>
    <t>Fournisseurs - Retenues de garantie</t>
  </si>
  <si>
    <t>Identique - numérotation différente</t>
  </si>
  <si>
    <t>4415</t>
  </si>
  <si>
    <t>Fournisseurs - effets à payer</t>
  </si>
  <si>
    <t>403</t>
  </si>
  <si>
    <t>Fournisseurs - Effets à payer</t>
  </si>
  <si>
    <t>4417</t>
  </si>
  <si>
    <t>Fournisseurs - factures non parvenues</t>
  </si>
  <si>
    <t>408</t>
  </si>
  <si>
    <t>Fournisseurs - Factures non parvenues</t>
  </si>
  <si>
    <t>4418</t>
  </si>
  <si>
    <t>Autres fournisseurs et comptes rattachés</t>
  </si>
  <si>
    <t>À regrouper</t>
  </si>
  <si>
    <t>4421</t>
  </si>
  <si>
    <t>Clients - avances et acomptes reçus</t>
  </si>
  <si>
    <t>4191</t>
  </si>
  <si>
    <t>Clients - Avances et acomptes reçus sur commandes</t>
  </si>
  <si>
    <t>⚠ Maroc : 442x - France : 419x</t>
  </si>
  <si>
    <t>4425</t>
  </si>
  <si>
    <t>Clients - dettes pour emballages consignés</t>
  </si>
  <si>
    <t>4196</t>
  </si>
  <si>
    <t>Clients - Dettes sur emballages et matériels consignés</t>
  </si>
  <si>
    <t>4427</t>
  </si>
  <si>
    <t>Rabais, remises et ristournes à accorder</t>
  </si>
  <si>
    <t>4198</t>
  </si>
  <si>
    <t>Rabais, remises, ristournes à accorder et autres avoirs à établir</t>
  </si>
  <si>
    <t>4432</t>
  </si>
  <si>
    <t>Rémunérations dues au personnel</t>
  </si>
  <si>
    <t>421</t>
  </si>
  <si>
    <t>Personnel - Rémunérations dues</t>
  </si>
  <si>
    <t>⚠ Maroc : 443x - France : 42x</t>
  </si>
  <si>
    <t>4433</t>
  </si>
  <si>
    <t>Dépôts du personnel créditeurs</t>
  </si>
  <si>
    <t>426</t>
  </si>
  <si>
    <t>Personnel - Dépôts</t>
  </si>
  <si>
    <t>4434</t>
  </si>
  <si>
    <t>Oppositions sur salaires</t>
  </si>
  <si>
    <t>427</t>
  </si>
  <si>
    <t>Personnel - Oppositions</t>
  </si>
  <si>
    <t>4437</t>
  </si>
  <si>
    <t>Charges du personnel à payer</t>
  </si>
  <si>
    <t>428</t>
  </si>
  <si>
    <t>Personnel - Charges à payer</t>
  </si>
  <si>
    <t>4441</t>
  </si>
  <si>
    <t>Caisse Nationale de la Sécurité Sociale (CNSS)</t>
  </si>
  <si>
    <t>431</t>
  </si>
  <si>
    <t>Sécurité sociale</t>
  </si>
  <si>
    <t>⚠ Maroc : 444x - France : 43x - CNSS → URSSAF</t>
  </si>
  <si>
    <t>4443</t>
  </si>
  <si>
    <t>Caisses de retraite</t>
  </si>
  <si>
    <t>437</t>
  </si>
  <si>
    <t>Autres organismes sociaux</t>
  </si>
  <si>
    <t>4445</t>
  </si>
  <si>
    <t>Mutuelles</t>
  </si>
  <si>
    <t>4447</t>
  </si>
  <si>
    <t>Charges sociales à payer</t>
  </si>
  <si>
    <t>438</t>
  </si>
  <si>
    <t>Organismes sociaux - Charges à payer</t>
  </si>
  <si>
    <t>44521</t>
  </si>
  <si>
    <t>Etat, taxe urbaine et taxe d'édilité</t>
  </si>
  <si>
    <t>63513</t>
  </si>
  <si>
    <t>Autres impôts locaux</t>
  </si>
  <si>
    <t>⚠ Spécifique Maroc - pas d'équivalent direct France</t>
  </si>
  <si>
    <t>44522</t>
  </si>
  <si>
    <t>Etat, patente</t>
  </si>
  <si>
    <t>63511</t>
  </si>
  <si>
    <t>Contribution économique territoriale</t>
  </si>
  <si>
    <t>⚠ Patente Maroc ≈ CET France (ex-taxe professionnelle)</t>
  </si>
  <si>
    <t>44525</t>
  </si>
  <si>
    <t>Etat, IGR (Impôt Général sur le Revenu)</t>
  </si>
  <si>
    <t>Prélèvements à la source</t>
  </si>
  <si>
    <t>IGR Maroc ≈ IR France</t>
  </si>
  <si>
    <t>4453</t>
  </si>
  <si>
    <t>Etat, impôts sur les résultats</t>
  </si>
  <si>
    <t>4455</t>
  </si>
  <si>
    <t>Etat, TVA facturée</t>
  </si>
  <si>
    <t>44571</t>
  </si>
  <si>
    <t>TVA collectée</t>
  </si>
  <si>
    <t>4456</t>
  </si>
  <si>
    <t>Etat, TVA due (suivant déclarations)</t>
  </si>
  <si>
    <t>44551</t>
  </si>
  <si>
    <t>TVA à décaisser</t>
  </si>
  <si>
    <t>4457</t>
  </si>
  <si>
    <t>Etat, impôts et taxes à payer</t>
  </si>
  <si>
    <t>447</t>
  </si>
  <si>
    <t>Autres impôts, taxes et versements assimilés</t>
  </si>
  <si>
    <t>4461</t>
  </si>
  <si>
    <t>Associés - capital à rembourser</t>
  </si>
  <si>
    <t>4567</t>
  </si>
  <si>
    <t>Associés - Capital à rembourser</t>
  </si>
  <si>
    <t>4462</t>
  </si>
  <si>
    <t>Associés - versements reçus sur augmentation de capital</t>
  </si>
  <si>
    <t>4563</t>
  </si>
  <si>
    <t>Associés - Versements reçus sur augmentation de capital</t>
  </si>
  <si>
    <t>4463</t>
  </si>
  <si>
    <t>Comptes courants des associés créditeurs</t>
  </si>
  <si>
    <t>4464</t>
  </si>
  <si>
    <t>Associés - opérations faites en commun</t>
  </si>
  <si>
    <t>458</t>
  </si>
  <si>
    <t>Associés - Opérations faites en commun et en GIE</t>
  </si>
  <si>
    <t>4465</t>
  </si>
  <si>
    <t>Associés - dividendes à payer</t>
  </si>
  <si>
    <t>457</t>
  </si>
  <si>
    <t>Associés - Dividendes à payer</t>
  </si>
  <si>
    <t>4481</t>
  </si>
  <si>
    <t>Dettes sur acquisitions d'immobilisations</t>
  </si>
  <si>
    <t>⚠ Maroc : 4481 autres créanciers - France : 404 fournisseurs immo</t>
  </si>
  <si>
    <t>4483</t>
  </si>
  <si>
    <t>Dettes sur acquisitions de titres et valeurs de placement</t>
  </si>
  <si>
    <t>464</t>
  </si>
  <si>
    <t>Dettes sur acquisitions de valeurs mobilières de placement</t>
  </si>
  <si>
    <t>4491</t>
  </si>
  <si>
    <t>Produits constatés d'avance</t>
  </si>
  <si>
    <t>487</t>
  </si>
  <si>
    <t>4493</t>
  </si>
  <si>
    <t>Intérêts courus et non échus à payer</t>
  </si>
  <si>
    <t>1618 / 4188</t>
  </si>
  <si>
    <t>Intérêts courus sur emprunts / Intérêts courus clients</t>
  </si>
  <si>
    <t>1/4</t>
  </si>
  <si>
    <t>Selon nature de la dette</t>
  </si>
  <si>
    <t>4497</t>
  </si>
  <si>
    <t>Comptes transitoires ou d'attente - créditeurs</t>
  </si>
  <si>
    <t>4501</t>
  </si>
  <si>
    <t>Provisions pour litiges (court terme)</t>
  </si>
  <si>
    <t>⚠ Maroc : cl.4 (court terme) - France : cl.1 sans distinction de durée en comptes individuels</t>
  </si>
  <si>
    <t>4502</t>
  </si>
  <si>
    <t>⚠ Reclassement cl.4 → cl.1</t>
  </si>
  <si>
    <t>4505</t>
  </si>
  <si>
    <t>Provisions pour amendes, doubles droits et pénalités</t>
  </si>
  <si>
    <t>4506</t>
  </si>
  <si>
    <t>4507</t>
  </si>
  <si>
    <t>Provisions pour impôts (court terme)</t>
  </si>
  <si>
    <t>4701</t>
  </si>
  <si>
    <t>Augmentation des créances circulantes (écart conv.)</t>
  </si>
  <si>
    <t>4702</t>
  </si>
  <si>
    <t>Diminution des dettes circulantes (écart conv.)</t>
  </si>
  <si>
    <t xml:space="preserve">  CLASSE 5 — COMPTES DE TRÉSORERIE (CGNC)  →  CLASSE 5 — COMPTES FINANCIERS (PCG)</t>
  </si>
  <si>
    <t>511</t>
  </si>
  <si>
    <t>Chèques et valeurs à encaisser</t>
  </si>
  <si>
    <t>Valeurs à l'encaissement</t>
  </si>
  <si>
    <t>5111</t>
  </si>
  <si>
    <t>Chèques à encaisser</t>
  </si>
  <si>
    <t>5112</t>
  </si>
  <si>
    <t>5113</t>
  </si>
  <si>
    <t>Effets à encaisser ou à l'encaissement</t>
  </si>
  <si>
    <t>Effets à l'encaissement</t>
  </si>
  <si>
    <t>5141</t>
  </si>
  <si>
    <t>Banques (solde débiteur)</t>
  </si>
  <si>
    <t>5121 / 5124</t>
  </si>
  <si>
    <t>Comptes en euros / Comptes en devises</t>
  </si>
  <si>
    <t>⚠ France distingue EUR et devises</t>
  </si>
  <si>
    <t>5143</t>
  </si>
  <si>
    <t>Trésorerie Générale</t>
  </si>
  <si>
    <t>517</t>
  </si>
  <si>
    <t>Autres organismes financiers</t>
  </si>
  <si>
    <t>5146</t>
  </si>
  <si>
    <t>Chèques postaux</t>
  </si>
  <si>
    <t>512</t>
  </si>
  <si>
    <t>Banques</t>
  </si>
  <si>
    <t>France : CCP assimilés à banques</t>
  </si>
  <si>
    <t>5161</t>
  </si>
  <si>
    <t>Caisses</t>
  </si>
  <si>
    <t>530</t>
  </si>
  <si>
    <t>Caisse</t>
  </si>
  <si>
    <t>⚠ Maroc : 516x - France : 530 - numérotation différente</t>
  </si>
  <si>
    <t>5165</t>
  </si>
  <si>
    <t>Régies d'avances et accréditifs</t>
  </si>
  <si>
    <t>552</t>
  </si>
  <si>
    <t>Crédits d'escompte</t>
  </si>
  <si>
    <t>5191</t>
  </si>
  <si>
    <t>Crédit de mobilisation de créances commerciales</t>
  </si>
  <si>
    <t>553</t>
  </si>
  <si>
    <t>Crédits de trésorerie</t>
  </si>
  <si>
    <t>519</t>
  </si>
  <si>
    <t>Concours bancaires courants</t>
  </si>
  <si>
    <t>554</t>
  </si>
  <si>
    <t>Banques (solde créditeur)</t>
  </si>
  <si>
    <t>⚠ France : découvert en 519 - pas de compte séparé 554</t>
  </si>
  <si>
    <t>59</t>
  </si>
  <si>
    <t>Provisions pour dépréciation des comptes de trésorerie</t>
  </si>
  <si>
    <t>Dépréciations des comptes financiers</t>
  </si>
  <si>
    <t xml:space="preserve">  CLASSE 6 — COMPTES DE CHARGES (CGNC)  →  CLASSE 6 — COMPTES DE CHARGES (PCG)</t>
  </si>
  <si>
    <t>611</t>
  </si>
  <si>
    <t>Achats revendus de marchandises</t>
  </si>
  <si>
    <t>607</t>
  </si>
  <si>
    <t>Achats de marchandises</t>
  </si>
  <si>
    <t>6114</t>
  </si>
  <si>
    <t>Variation de stocks de marchandises</t>
  </si>
  <si>
    <t>6037</t>
  </si>
  <si>
    <t>Variation des stocks de marchandises</t>
  </si>
  <si>
    <t>6121</t>
  </si>
  <si>
    <t>Achats de matières premières</t>
  </si>
  <si>
    <t>601</t>
  </si>
  <si>
    <t>Achats stockés - Matières premières et fournitures</t>
  </si>
  <si>
    <t>6122</t>
  </si>
  <si>
    <t>Achats de matières et fournitures consommables</t>
  </si>
  <si>
    <t>602</t>
  </si>
  <si>
    <t>Achats stockés - Autres approvisionnements</t>
  </si>
  <si>
    <t>61223</t>
  </si>
  <si>
    <t>Achats de combustibles</t>
  </si>
  <si>
    <t>60221</t>
  </si>
  <si>
    <t>61224</t>
  </si>
  <si>
    <t>Achats de produits d'entretien</t>
  </si>
  <si>
    <t>60222</t>
  </si>
  <si>
    <t>61225</t>
  </si>
  <si>
    <t>Achats de fournitures d'atelier et d'usine</t>
  </si>
  <si>
    <t>60223</t>
  </si>
  <si>
    <t>6124</t>
  </si>
  <si>
    <t>Variation des stocks de matières et fournitures</t>
  </si>
  <si>
    <t>603</t>
  </si>
  <si>
    <t>Variation des stocks d'approvisionnements</t>
  </si>
  <si>
    <t>61251</t>
  </si>
  <si>
    <t>Achats de fournitures non stockables (eau, électricité)</t>
  </si>
  <si>
    <t>6061</t>
  </si>
  <si>
    <t>Fournitures non stockables (eau, énergie)</t>
  </si>
  <si>
    <t>61252</t>
  </si>
  <si>
    <t>Achats de fournitures d'entretien</t>
  </si>
  <si>
    <t>6063</t>
  </si>
  <si>
    <t>Fournitures d'entretien et de petit équipement</t>
  </si>
  <si>
    <t>61253</t>
  </si>
  <si>
    <t>Achats de petit outillage et petit équipement</t>
  </si>
  <si>
    <t>Ou 6064 selon nature</t>
  </si>
  <si>
    <t>61254</t>
  </si>
  <si>
    <t>Achats de fournitures de bureau</t>
  </si>
  <si>
    <t>6064</t>
  </si>
  <si>
    <t>Fournitures administratives</t>
  </si>
  <si>
    <t>6126</t>
  </si>
  <si>
    <t>Achats de travaux, études et prestations de service</t>
  </si>
  <si>
    <t>604</t>
  </si>
  <si>
    <t>Achats d'études et prestations de services</t>
  </si>
  <si>
    <t>61261</t>
  </si>
  <si>
    <t>Achats des travaux</t>
  </si>
  <si>
    <t>605</t>
  </si>
  <si>
    <t>Achats de matériel, équipements et travaux</t>
  </si>
  <si>
    <t>61311</t>
  </si>
  <si>
    <t>Locations de terrains</t>
  </si>
  <si>
    <t>6132</t>
  </si>
  <si>
    <t>Locations immobilières</t>
  </si>
  <si>
    <t>61312</t>
  </si>
  <si>
    <t>Locations de constructions</t>
  </si>
  <si>
    <t>61313</t>
  </si>
  <si>
    <t>Locations de matériel et d'outillage</t>
  </si>
  <si>
    <t>6135</t>
  </si>
  <si>
    <t>Locations mobilières</t>
  </si>
  <si>
    <t>61314</t>
  </si>
  <si>
    <t>Locations de mobilier et de matériel de bureau</t>
  </si>
  <si>
    <t>61315</t>
  </si>
  <si>
    <t>Locations de matériel informatique</t>
  </si>
  <si>
    <t>61321</t>
  </si>
  <si>
    <t>Redevances de crédit-bail mobilier</t>
  </si>
  <si>
    <t>Crédit-bail mobilier</t>
  </si>
  <si>
    <t>⚠ Non-activation identique en comptes individuels</t>
  </si>
  <si>
    <t>61331</t>
  </si>
  <si>
    <t>Entretien et réparations des biens immobiliers</t>
  </si>
  <si>
    <t>6152</t>
  </si>
  <si>
    <t>Entretien et réparation sur biens immobiliers</t>
  </si>
  <si>
    <t>61332</t>
  </si>
  <si>
    <t>Entretien et réparations des biens mobiliers</t>
  </si>
  <si>
    <t>6155</t>
  </si>
  <si>
    <t>Entretien et réparation sur biens mobiliers</t>
  </si>
  <si>
    <t>61335</t>
  </si>
  <si>
    <t>Maintenance</t>
  </si>
  <si>
    <t>6156</t>
  </si>
  <si>
    <t>6134</t>
  </si>
  <si>
    <t>Primes d'assurances</t>
  </si>
  <si>
    <t>616</t>
  </si>
  <si>
    <t>Rémunérations du personnel extérieur à l'entreprise</t>
  </si>
  <si>
    <t>621</t>
  </si>
  <si>
    <t>Personnel extérieur à l'entité</t>
  </si>
  <si>
    <t>⚠ Maroc : 613x charges ext. - France : 621x autres services ext.</t>
  </si>
  <si>
    <t>61351</t>
  </si>
  <si>
    <t>Rémunérations du personnel occasionnel</t>
  </si>
  <si>
    <t>6211</t>
  </si>
  <si>
    <t>Personnel intérimaire</t>
  </si>
  <si>
    <t>61361</t>
  </si>
  <si>
    <t>Commissions et courtages</t>
  </si>
  <si>
    <t>6221</t>
  </si>
  <si>
    <t>Commissions et courtages sur achats</t>
  </si>
  <si>
    <t>61365</t>
  </si>
  <si>
    <t>Honoraires</t>
  </si>
  <si>
    <t>6226</t>
  </si>
  <si>
    <t>61367</t>
  </si>
  <si>
    <t>Frais d'actes et de contentieux</t>
  </si>
  <si>
    <t>6227</t>
  </si>
  <si>
    <t>6137</t>
  </si>
  <si>
    <t>Redevances pour brevets, marques, droits</t>
  </si>
  <si>
    <t>651</t>
  </si>
  <si>
    <t>Redevances pour concessions, brevets, licences</t>
  </si>
  <si>
    <t>⚠ Maroc : cl.613 charges ext. - France : cl.651 autres charges gestion courante</t>
  </si>
  <si>
    <t>61415</t>
  </si>
  <si>
    <t>Documentation générale</t>
  </si>
  <si>
    <t>6181</t>
  </si>
  <si>
    <t>61416</t>
  </si>
  <si>
    <t>Documentation technique</t>
  </si>
  <si>
    <t>6183</t>
  </si>
  <si>
    <t>61421</t>
  </si>
  <si>
    <t>Transports du personnel</t>
  </si>
  <si>
    <t>6247</t>
  </si>
  <si>
    <t>Transports collectifs du personnel</t>
  </si>
  <si>
    <t>61425</t>
  </si>
  <si>
    <t>Transports sur achats</t>
  </si>
  <si>
    <t>6241</t>
  </si>
  <si>
    <t>61426</t>
  </si>
  <si>
    <t>Transports sur ventes</t>
  </si>
  <si>
    <t>6242</t>
  </si>
  <si>
    <t>61431</t>
  </si>
  <si>
    <t>Voyages et déplacements</t>
  </si>
  <si>
    <t>6251</t>
  </si>
  <si>
    <t>61435</t>
  </si>
  <si>
    <t>Missions</t>
  </si>
  <si>
    <t>6256</t>
  </si>
  <si>
    <t>61436</t>
  </si>
  <si>
    <t>Réceptions</t>
  </si>
  <si>
    <t>6257</t>
  </si>
  <si>
    <t>61441</t>
  </si>
  <si>
    <t>Annonces et insertions</t>
  </si>
  <si>
    <t>6231</t>
  </si>
  <si>
    <t>61444</t>
  </si>
  <si>
    <t>Primes de publicité</t>
  </si>
  <si>
    <t>6235</t>
  </si>
  <si>
    <t>Primes</t>
  </si>
  <si>
    <t>61446</t>
  </si>
  <si>
    <t>Publications</t>
  </si>
  <si>
    <t>6237</t>
  </si>
  <si>
    <t>61451</t>
  </si>
  <si>
    <t>Frais postaux</t>
  </si>
  <si>
    <t>626</t>
  </si>
  <si>
    <t>Frais postaux et de télécommunications</t>
  </si>
  <si>
    <t>61455</t>
  </si>
  <si>
    <t>Frais de téléphone</t>
  </si>
  <si>
    <t>6262</t>
  </si>
  <si>
    <t>6146</t>
  </si>
  <si>
    <t>Cotisations et dons</t>
  </si>
  <si>
    <t>6281</t>
  </si>
  <si>
    <t>Concours divers (cotisations)</t>
  </si>
  <si>
    <t>61473</t>
  </si>
  <si>
    <t>Frais et commissions sur services bancaires</t>
  </si>
  <si>
    <t>6278</t>
  </si>
  <si>
    <t>Autres frais et commissions sur prestations de services</t>
  </si>
  <si>
    <t>61611</t>
  </si>
  <si>
    <t>Taxe urbaine et taxe d'édilité</t>
  </si>
  <si>
    <t>⚠ Spécifique Maroc - à classer en 635x France</t>
  </si>
  <si>
    <t>61612</t>
  </si>
  <si>
    <t>Patente</t>
  </si>
  <si>
    <t>Contribution économique territoriale (CET)</t>
  </si>
  <si>
    <t>⚠ Patente Maroc ≈ CET France</t>
  </si>
  <si>
    <t>61671</t>
  </si>
  <si>
    <t>Droits d'enregistrement et de timbre</t>
  </si>
  <si>
    <t>6354</t>
  </si>
  <si>
    <t>61673</t>
  </si>
  <si>
    <t>Taxes sur les véhicules</t>
  </si>
  <si>
    <t>63514</t>
  </si>
  <si>
    <t>Taxe sur les véhicules des sociétés</t>
  </si>
  <si>
    <t>61711</t>
  </si>
  <si>
    <t>Appointements et salaires</t>
  </si>
  <si>
    <t>6411</t>
  </si>
  <si>
    <t>Salaires, appointements</t>
  </si>
  <si>
    <t>⚠ Maroc : 617x - France : 641x</t>
  </si>
  <si>
    <t>61712</t>
  </si>
  <si>
    <t>Primes et gratifications</t>
  </si>
  <si>
    <t>6413</t>
  </si>
  <si>
    <t>61713</t>
  </si>
  <si>
    <t>Indemnités et avantages divers</t>
  </si>
  <si>
    <t>6414</t>
  </si>
  <si>
    <t>61715</t>
  </si>
  <si>
    <t>Rémunérations des administrateurs, gérants et associés</t>
  </si>
  <si>
    <t>653</t>
  </si>
  <si>
    <t>Rémunérations de l'activité des administrateurs et des gérants</t>
  </si>
  <si>
    <t>61741</t>
  </si>
  <si>
    <t>Cotisations de sécurité sociale</t>
  </si>
  <si>
    <t>6451</t>
  </si>
  <si>
    <t>Cotisations à l'Urssaf</t>
  </si>
  <si>
    <t>CNSS Maroc → URSSAF France</t>
  </si>
  <si>
    <t>61742</t>
  </si>
  <si>
    <t>Cotisations aux caisses de retraite</t>
  </si>
  <si>
    <t>6453</t>
  </si>
  <si>
    <t>Cotisations aux caisses de retraites</t>
  </si>
  <si>
    <t>61743</t>
  </si>
  <si>
    <t>Cotisations aux mutuelles</t>
  </si>
  <si>
    <t>6452</t>
  </si>
  <si>
    <t>61744</t>
  </si>
  <si>
    <t>Prestations familiales</t>
  </si>
  <si>
    <t>6458</t>
  </si>
  <si>
    <t>Cotisations aux autres organismes sociaux</t>
  </si>
  <si>
    <t>61766</t>
  </si>
  <si>
    <t>Médecine de travail, pharmacie</t>
  </si>
  <si>
    <t>6475</t>
  </si>
  <si>
    <t>Médecine du travail, pharmacie</t>
  </si>
  <si>
    <t>Jetons de présence</t>
  </si>
  <si>
    <t>6182</t>
  </si>
  <si>
    <t>Pertes sur créances irrécouvrables</t>
  </si>
  <si>
    <t>654</t>
  </si>
  <si>
    <t>6191</t>
  </si>
  <si>
    <t>Dotations exploit. aux amortissements non-valeurs</t>
  </si>
  <si>
    <t>68111</t>
  </si>
  <si>
    <t>Immobilisations incorporelles et frais d'établissement</t>
  </si>
  <si>
    <t>6192</t>
  </si>
  <si>
    <t>Dotations exploit. aux amortissements immo. incorporelles</t>
  </si>
  <si>
    <t>Immobilisations incorporelles</t>
  </si>
  <si>
    <t>6193</t>
  </si>
  <si>
    <t>Dotations exploit. aux amortissements immo. corporelles</t>
  </si>
  <si>
    <t>68112</t>
  </si>
  <si>
    <t>Immobilisations corporelles</t>
  </si>
  <si>
    <t>6195</t>
  </si>
  <si>
    <t>Dotations aux provisions pour risques et charges</t>
  </si>
  <si>
    <t>6815</t>
  </si>
  <si>
    <t>Dotations aux provisions d'exploitation</t>
  </si>
  <si>
    <t>6196</t>
  </si>
  <si>
    <t>Dotations aux provisions pour dépréciation actif circulant</t>
  </si>
  <si>
    <t>6817</t>
  </si>
  <si>
    <t>Dotations pour dépréciations des actifs circulants</t>
  </si>
  <si>
    <t>6311</t>
  </si>
  <si>
    <t>Intérêts des emprunts et dettes</t>
  </si>
  <si>
    <t>6611</t>
  </si>
  <si>
    <t>63114</t>
  </si>
  <si>
    <t>Intérêts des comptes courants et dépôts créditeurs</t>
  </si>
  <si>
    <t>6615</t>
  </si>
  <si>
    <t>Intérêts des comptes courants et des dépôts créditeurs</t>
  </si>
  <si>
    <t>63115</t>
  </si>
  <si>
    <t>Intérêts bancaires et sur opérations de financement</t>
  </si>
  <si>
    <t>6616</t>
  </si>
  <si>
    <t>633</t>
  </si>
  <si>
    <t>Pertes de change financières</t>
  </si>
  <si>
    <t>666</t>
  </si>
  <si>
    <t>6382</t>
  </si>
  <si>
    <t>Pertes sur créances liées à des participations</t>
  </si>
  <si>
    <t>664</t>
  </si>
  <si>
    <t>6385</t>
  </si>
  <si>
    <t>Charges nettes sur cession de titres et valeurs de placement</t>
  </si>
  <si>
    <t>6673</t>
  </si>
  <si>
    <t>Charges nettes sur cessions de valeurs mobilières de placement</t>
  </si>
  <si>
    <t>6386</t>
  </si>
  <si>
    <t>Escomptes accordés</t>
  </si>
  <si>
    <t>665</t>
  </si>
  <si>
    <t>639</t>
  </si>
  <si>
    <t>Dotations financières aux amortissements et provisions</t>
  </si>
  <si>
    <t>686</t>
  </si>
  <si>
    <t>Dotations aux amortissements, dépréciations et provisions (charges financières)</t>
  </si>
  <si>
    <t>6391</t>
  </si>
  <si>
    <t>Dotations aux amort. des primes de remboursement obligations</t>
  </si>
  <si>
    <t>Dotations aux amortissements des primes de remboursement des emprunts</t>
  </si>
  <si>
    <t>6392</t>
  </si>
  <si>
    <t>Dotations aux provisions dépréciation immo. financières</t>
  </si>
  <si>
    <t>6866</t>
  </si>
  <si>
    <t>Dotations pour dépréciation des éléments financiers</t>
  </si>
  <si>
    <t>6394</t>
  </si>
  <si>
    <t>Dotations aux provisions dépréciation titres et valeurs plac.</t>
  </si>
  <si>
    <t>68665</t>
  </si>
  <si>
    <t>Valeurs mobilières de placement</t>
  </si>
  <si>
    <t>Valeurs nettes d'amortissements des immo. cédées (VNA)</t>
  </si>
  <si>
    <t>657</t>
  </si>
  <si>
    <t>Valeurs comptables des immobilisations incorporelles et corporelles cédées</t>
  </si>
  <si>
    <t>⚠ 'Non courant' Maroc ≠ 'exceptionnel' France - vérifier critère Art.513-5 PCG</t>
  </si>
  <si>
    <t>6512</t>
  </si>
  <si>
    <t>VNA des immobilisations incorporelles cédées</t>
  </si>
  <si>
    <t>Valeurs comptables des immobilisations cédées</t>
  </si>
  <si>
    <t>6513</t>
  </si>
  <si>
    <t>VNA des immobilisations corporelles cédées</t>
  </si>
  <si>
    <t>6581</t>
  </si>
  <si>
    <t>Pénalités sur marchés et dédits</t>
  </si>
  <si>
    <t>Pénalités sur marchés (et dédits payés sur achats et ventes)</t>
  </si>
  <si>
    <t>6583</t>
  </si>
  <si>
    <t>Pénalités et amendes fiscales ou pénales</t>
  </si>
  <si>
    <t>6712</t>
  </si>
  <si>
    <t>Pénalités et amendes fiscales et pénales</t>
  </si>
  <si>
    <t>6585</t>
  </si>
  <si>
    <t>Créances devenues irrécouvrables</t>
  </si>
  <si>
    <t>6544</t>
  </si>
  <si>
    <t>Créances des exercices antérieurs</t>
  </si>
  <si>
    <t>6586</t>
  </si>
  <si>
    <t>Dons, libéralités et lots</t>
  </si>
  <si>
    <t>658</t>
  </si>
  <si>
    <t>Pénalités et autres charges</t>
  </si>
  <si>
    <t>À documenter selon nature</t>
  </si>
  <si>
    <t>6588</t>
  </si>
  <si>
    <t>Autres charges non courantes des exercices antérieurs</t>
  </si>
  <si>
    <t>672</t>
  </si>
  <si>
    <t>Charges sur exercices antérieurs</t>
  </si>
  <si>
    <t>6591</t>
  </si>
  <si>
    <t>Dotations aux amortissements exceptionnels des immo.</t>
  </si>
  <si>
    <t>6871</t>
  </si>
  <si>
    <t>Dotations aux amortissements exceptionnels des immobilisations</t>
  </si>
  <si>
    <t>6594</t>
  </si>
  <si>
    <t>Dotations non courantes aux provisions réglementées</t>
  </si>
  <si>
    <t>6872</t>
  </si>
  <si>
    <t>Dotations aux provisions réglementées (immobilisations)</t>
  </si>
  <si>
    <t>65941</t>
  </si>
  <si>
    <t>Dotations pour amortissements dérogatoires</t>
  </si>
  <si>
    <t>68725</t>
  </si>
  <si>
    <t>6701</t>
  </si>
  <si>
    <t>Impôts sur les bénéfices (IS)</t>
  </si>
  <si>
    <t>6951</t>
  </si>
  <si>
    <t>Impôts dus en France</t>
  </si>
  <si>
    <t>⚠ Maroc : 670x - France : 695x - position différente dans le CR</t>
  </si>
  <si>
    <t>6705</t>
  </si>
  <si>
    <t>Imposition minimale annuelle des sociétés</t>
  </si>
  <si>
    <t>695</t>
  </si>
  <si>
    <t>Impôts sur les bénéfices</t>
  </si>
  <si>
    <t>⚠ Spécifique Maroc (cotisation minimale) - pas d'équivalent exact France</t>
  </si>
  <si>
    <t xml:space="preserve">  CLASSE 7 — COMPTES DE PRODUITS (CGNC)  →  CLASSE 7 — COMPTES DE PRODUITS (PCG)</t>
  </si>
  <si>
    <t>7</t>
  </si>
  <si>
    <t>711</t>
  </si>
  <si>
    <t>Ventes de marchandises</t>
  </si>
  <si>
    <t>707</t>
  </si>
  <si>
    <t>7121</t>
  </si>
  <si>
    <t>Ventes de biens produits au Maroc</t>
  </si>
  <si>
    <t>701</t>
  </si>
  <si>
    <t>Ventes de produits finis</t>
  </si>
  <si>
    <t>71241</t>
  </si>
  <si>
    <t>Travaux</t>
  </si>
  <si>
    <t>704</t>
  </si>
  <si>
    <t>71242</t>
  </si>
  <si>
    <t>Etudes</t>
  </si>
  <si>
    <t>705</t>
  </si>
  <si>
    <t>Études</t>
  </si>
  <si>
    <t>71243</t>
  </si>
  <si>
    <t>Prestations de services</t>
  </si>
  <si>
    <t>706</t>
  </si>
  <si>
    <t>7126</t>
  </si>
  <si>
    <t>751</t>
  </si>
  <si>
    <t>⚠ Maroc : cl.71 produits exploitation - France : cl.751 autres produits gestion courante</t>
  </si>
  <si>
    <t>71271</t>
  </si>
  <si>
    <t>Locations diverses reçues</t>
  </si>
  <si>
    <t>7083</t>
  </si>
  <si>
    <t>Locations diverses</t>
  </si>
  <si>
    <t>71272</t>
  </si>
  <si>
    <t>Commissions et courtages reçus</t>
  </si>
  <si>
    <t>7082</t>
  </si>
  <si>
    <t>71275</t>
  </si>
  <si>
    <t>Bonis sur reprises d'emballages consignés</t>
  </si>
  <si>
    <t>7086</t>
  </si>
  <si>
    <t>713</t>
  </si>
  <si>
    <t>Variation des stocks de produits</t>
  </si>
  <si>
    <t>71</t>
  </si>
  <si>
    <t>Production stockée (ou déstockage)</t>
  </si>
  <si>
    <t>714</t>
  </si>
  <si>
    <t>Immobilisations produites par l'entreprise pour elle-même</t>
  </si>
  <si>
    <t>72</t>
  </si>
  <si>
    <t>Production immobilisée</t>
  </si>
  <si>
    <t>716</t>
  </si>
  <si>
    <t>Subventions d'exploitation</t>
  </si>
  <si>
    <t>741</t>
  </si>
  <si>
    <t>7182</t>
  </si>
  <si>
    <t>Revenus des immeubles non affectés à l'exploitation</t>
  </si>
  <si>
    <t>752</t>
  </si>
  <si>
    <t>Revenus des immeubles non affectés à des activités professionnelles</t>
  </si>
  <si>
    <t>7191</t>
  </si>
  <si>
    <t>Reprises sur amortissements des non-valeurs</t>
  </si>
  <si>
    <t>78111</t>
  </si>
  <si>
    <t>7193</t>
  </si>
  <si>
    <t>Reprises sur amortissements des immo. corporelles</t>
  </si>
  <si>
    <t>78112</t>
  </si>
  <si>
    <t>7194</t>
  </si>
  <si>
    <t>Reprises sur provisions pour dépréciation des immo.</t>
  </si>
  <si>
    <t>7816</t>
  </si>
  <si>
    <t>Reprises sur dépréciations des immobilisations</t>
  </si>
  <si>
    <t>7195</t>
  </si>
  <si>
    <t>Reprises sur provisions pour risques et charges</t>
  </si>
  <si>
    <t>7815</t>
  </si>
  <si>
    <t>Reprises sur provisions d'exploitation</t>
  </si>
  <si>
    <t>7196</t>
  </si>
  <si>
    <t>Reprises sur provisions pour dépréciation de l'actif circulant</t>
  </si>
  <si>
    <t>7817</t>
  </si>
  <si>
    <t>Reprises sur dépréciations des actifs circulants</t>
  </si>
  <si>
    <t>7197</t>
  </si>
  <si>
    <t>Transferts des charges d'exploitation</t>
  </si>
  <si>
    <t>781</t>
  </si>
  <si>
    <t>Reprises sur amortissements, dépréciations et provisions</t>
  </si>
  <si>
    <t>7321</t>
  </si>
  <si>
    <t>Revenus des titres de participation</t>
  </si>
  <si>
    <t>7611</t>
  </si>
  <si>
    <t>7325</t>
  </si>
  <si>
    <t>Revenus des titres immobilisés</t>
  </si>
  <si>
    <t>762</t>
  </si>
  <si>
    <t>Produits des autres immobilisations financières</t>
  </si>
  <si>
    <t>733</t>
  </si>
  <si>
    <t>Gains de change</t>
  </si>
  <si>
    <t>766</t>
  </si>
  <si>
    <t>Gains de change financiers</t>
  </si>
  <si>
    <t>7381</t>
  </si>
  <si>
    <t>Intérêts et produits assimilés</t>
  </si>
  <si>
    <t>7638</t>
  </si>
  <si>
    <t>Revenus des créances diverses</t>
  </si>
  <si>
    <t>7383</t>
  </si>
  <si>
    <t>Revenus des créances rattachées à des participations</t>
  </si>
  <si>
    <t>7617</t>
  </si>
  <si>
    <t>7384</t>
  </si>
  <si>
    <t>Revenus des titres et valeurs de placement</t>
  </si>
  <si>
    <t>764</t>
  </si>
  <si>
    <t>Revenus des valeurs mobilières de placement</t>
  </si>
  <si>
    <t>7385</t>
  </si>
  <si>
    <t>Produits nets sur cessions de TVP</t>
  </si>
  <si>
    <t>7673</t>
  </si>
  <si>
    <t>Produits nets sur cessions de valeurs mobilières de placement</t>
  </si>
  <si>
    <t>7386</t>
  </si>
  <si>
    <t>Escomptes obtenus</t>
  </si>
  <si>
    <t>765</t>
  </si>
  <si>
    <t>7391</t>
  </si>
  <si>
    <t>Reprises sur amortissements des primes de remboursement</t>
  </si>
  <si>
    <t>786</t>
  </si>
  <si>
    <t>Reprises sur dépréciations et provisions (produits financiers)</t>
  </si>
  <si>
    <t>Produits des cessions d'immobilisations</t>
  </si>
  <si>
    <t>757</t>
  </si>
  <si>
    <t>Produits des cessions d'immobilisations incorporelles et corporelles</t>
  </si>
  <si>
    <t>⚠ 'Non courant' Maroc ≠ 'exceptionnel' France - vérifier critère</t>
  </si>
  <si>
    <t>7512</t>
  </si>
  <si>
    <t>Produits des cessions des immo. incorporelles</t>
  </si>
  <si>
    <t>7513</t>
  </si>
  <si>
    <t>Produits des cessions des immo. corporelles</t>
  </si>
  <si>
    <t>756</t>
  </si>
  <si>
    <t>Subventions d'équilibre</t>
  </si>
  <si>
    <t>742</t>
  </si>
  <si>
    <t>Reprise sur subventions d'investissements</t>
  </si>
  <si>
    <t>747</t>
  </si>
  <si>
    <t>Quote-part des subventions d'investissement virée au résultat</t>
  </si>
  <si>
    <t>7581</t>
  </si>
  <si>
    <t>Pénalités et dédits reçus</t>
  </si>
  <si>
    <t>Dédits et pénalités perçus sur achats et ventes</t>
  </si>
  <si>
    <t>7582</t>
  </si>
  <si>
    <t>Dégrèvement d'impôts</t>
  </si>
  <si>
    <t>7584</t>
  </si>
  <si>
    <t>Dégrèvements d'impôts autres qu'impôts sur les bénéfices</t>
  </si>
  <si>
    <t>7585</t>
  </si>
  <si>
    <t>Rentrées sur créances soldées</t>
  </si>
  <si>
    <t>7583</t>
  </si>
  <si>
    <t>Rentrées sur créances amorties</t>
  </si>
  <si>
    <t>7586</t>
  </si>
  <si>
    <t>Dons, libéralités et lots reçus</t>
  </si>
  <si>
    <t>Libéralités reçues</t>
  </si>
  <si>
    <t>75941</t>
  </si>
  <si>
    <t>Reprises sur amortissements dérogatoires</t>
  </si>
  <si>
    <t>78725</t>
  </si>
  <si>
    <t>7595</t>
  </si>
  <si>
    <t>Reprises non courantes sur provisions pour risques et charges</t>
  </si>
  <si>
    <t>7875</t>
  </si>
  <si>
    <t>Reprises sur provisions exceptionnelles</t>
  </si>
  <si>
    <t>7596</t>
  </si>
  <si>
    <t>Reprises non courantes sur provisions pour dépréciation</t>
  </si>
  <si>
    <t>7876</t>
  </si>
  <si>
    <t>Reprises sur dépréciations exceptionnelles</t>
  </si>
  <si>
    <t xml:space="preserve">  CLASSE 8 — COMPTES DE RÉSULTATS (CGNC) — SANS ÉQUIVALENT EN PCG FRANCE</t>
  </si>
  <si>
    <t>8</t>
  </si>
  <si>
    <t>810</t>
  </si>
  <si>
    <t>Résultat d'exploitation</t>
  </si>
  <si>
    <t>✗</t>
  </si>
  <si>
    <t>Pas de compte de résultat intermédiaire normalisé en PCG</t>
  </si>
  <si>
    <t>⚠ DIFFÉRENCE MAJEURE : la classe 8 CGNC (ESG normalisé) n'existe pas en PCG France comptes individuels</t>
  </si>
  <si>
    <t>81</t>
  </si>
  <si>
    <t>811</t>
  </si>
  <si>
    <t>Marge brute</t>
  </si>
  <si>
    <t>Calculé hors comptabilité</t>
  </si>
  <si>
    <t>France : MB calculée extra-comptablement ou en gestion</t>
  </si>
  <si>
    <t>814</t>
  </si>
  <si>
    <t>Valeur ajoutée</t>
  </si>
  <si>
    <t>France : VA déclarée en liasse 2058-A mais pas en compte</t>
  </si>
  <si>
    <t>8171</t>
  </si>
  <si>
    <t>Excédent brut d'exploitation (EBE)</t>
  </si>
  <si>
    <t>France : EBE calculé par l'expert-comptable - pas de compte PCG</t>
  </si>
  <si>
    <t>830</t>
  </si>
  <si>
    <t>Résultat financier</t>
  </si>
  <si>
    <t>France : résultat financier = total 66 - total 76 dans le CR</t>
  </si>
  <si>
    <t>83</t>
  </si>
  <si>
    <t>840</t>
  </si>
  <si>
    <t>Résultat courant</t>
  </si>
  <si>
    <t>France : résultat courant avant impôts = ligne du compte de résultat</t>
  </si>
  <si>
    <t>84</t>
  </si>
  <si>
    <t>850</t>
  </si>
  <si>
    <t>Résultat non courant</t>
  </si>
  <si>
    <t>France : résultat exceptionnel = ligne CR - critères différents Art.513-5</t>
  </si>
  <si>
    <t>85</t>
  </si>
  <si>
    <t>860</t>
  </si>
  <si>
    <t>Résultat avant impôts</t>
  </si>
  <si>
    <t>France : calculé dans le CR</t>
  </si>
  <si>
    <t>86</t>
  </si>
  <si>
    <t>880</t>
  </si>
  <si>
    <t>Résultat après impôts</t>
  </si>
  <si>
    <t>France : résultat net = ligne finale du CR</t>
  </si>
  <si>
    <t>88</t>
  </si>
  <si>
    <t xml:space="preserve">  CLASSE 9 — COMPTABILITÉ ANALYTIQUE (CGNC) — NORMALISÉE MAROC / LIBRE EN FRANCE</t>
  </si>
  <si>
    <t>9</t>
  </si>
  <si>
    <t>90</t>
  </si>
  <si>
    <t>Comptes de produits et charges réfléchis</t>
  </si>
  <si>
    <t>Pas de classe 9 normalisée en PCG</t>
  </si>
  <si>
    <t>⚠ La classe 9 CGNC est intégrée et normalisée - en France la compta analytique est totalement libre</t>
  </si>
  <si>
    <t>91</t>
  </si>
  <si>
    <t>Comptes de reclassement et d'analyse</t>
  </si>
  <si>
    <t>Pas de normalisation en France</t>
  </si>
  <si>
    <t>France : analytique libre, souvent en logiciel séparé ou plan de comptes auxiliaire</t>
  </si>
  <si>
    <t>92</t>
  </si>
  <si>
    <t>Sections analytiques</t>
  </si>
  <si>
    <t>France : centres de coûts définis librement par l'entité</t>
  </si>
  <si>
    <t>93</t>
  </si>
  <si>
    <t>Coûts d'achat ou de production</t>
  </si>
  <si>
    <t>France : méthode des coûts complets ou variables selon choix</t>
  </si>
  <si>
    <t>94</t>
  </si>
  <si>
    <t>Inventaire permanent des stocks</t>
  </si>
  <si>
    <t>France : inventaire permanent possible mais pas normalisé dans le PCG</t>
  </si>
  <si>
    <t>95</t>
  </si>
  <si>
    <t>Coûts de revient</t>
  </si>
  <si>
    <t>France : libre</t>
  </si>
  <si>
    <t>96</t>
  </si>
  <si>
    <t>Ecarts sur coûts préétablis</t>
  </si>
  <si>
    <t>France : écarts analysés librement</t>
  </si>
  <si>
    <t>97</t>
  </si>
  <si>
    <t>Différences d'incorporation</t>
  </si>
  <si>
    <t>France : retraitements analytiques libres</t>
  </si>
  <si>
    <t>98</t>
  </si>
  <si>
    <t>Résultats analytiques</t>
  </si>
  <si>
    <t>France : résultats par section/produit définis librement</t>
  </si>
  <si>
    <t>TOTAL : 366 correspondances | Classes 1 à 9 CGNC | ✓ Direct  ≈ Approché  ⚠ Différence notable  ✗ Sans équivalent PCG</t>
  </si>
  <si>
    <t>PARAMÈTRE TAUX DE CHANGE</t>
  </si>
  <si>
    <t>⚠  Modifiez uniquement la cellule E2 pour actualiser tous les montants en euros. Tous les calculs EUR sont dynamiques.</t>
  </si>
  <si>
    <t>▼  COLLER votre balance ici (colonnes A à F) : N° compte | Intitulé | Mvt Débit | Mvt Crédit | Solde Débiteur | Solde Créditeur</t>
  </si>
  <si>
    <t>N° Compte
Maroc (CGNC)</t>
  </si>
  <si>
    <t>Intitulé Compte Marocain</t>
  </si>
  <si>
    <t>Solde
Débiteur (MAD)</t>
  </si>
  <si>
    <t>Solde
Créditeur (MAD)</t>
  </si>
  <si>
    <t>N° Compte
France (PCG)</t>
  </si>
  <si>
    <t>Solde Débiteur
(EUR)</t>
  </si>
  <si>
    <t>Solde Créditeur
(EUR)</t>
  </si>
  <si>
    <t>Alertes / Points de vigilance</t>
  </si>
  <si>
    <t>Clé_norm</t>
  </si>
  <si>
    <t>Agencement, installation et aménagements divers</t>
  </si>
  <si>
    <t>ETAT - TVA récupérable sur les charges</t>
  </si>
  <si>
    <t>Banques (ATIJARI WAFABANK)</t>
  </si>
  <si>
    <t>Achats de matières premières A</t>
  </si>
  <si>
    <t>Achats de fournitures non stockables (eau, élec.)</t>
  </si>
  <si>
    <t>Pénalités et amendes fiscales</t>
  </si>
  <si>
    <t>TOTAUX</t>
  </si>
  <si>
    <t>CONTRÔLE ÉQUILIBRE MAD : Total Débit = Total Crédit ?</t>
  </si>
  <si>
    <t>CONTRÔLE ÉQUILIBRE EUR :</t>
  </si>
  <si>
    <t>Fournisseurs A</t>
  </si>
  <si>
    <t>Fournisseurs B</t>
  </si>
  <si>
    <t>Fournisseurs C</t>
  </si>
  <si>
    <t>Fournisseurs D</t>
  </si>
  <si>
    <t>Fournisseurs E</t>
  </si>
  <si>
    <t>Fournisseurs F</t>
  </si>
  <si>
    <t>Fournisseurs G</t>
  </si>
  <si>
    <t>Fournisseurs H</t>
  </si>
  <si>
    <t>Reserve légale</t>
  </si>
  <si>
    <t>Amortissements agencement - instalation</t>
  </si>
  <si>
    <t>Honoraires divers</t>
  </si>
  <si>
    <t xml:space="preserve">Etat taxe de séjour </t>
  </si>
  <si>
    <t>Etat, TVA due</t>
  </si>
  <si>
    <t>hébergement</t>
  </si>
  <si>
    <t>Petits dejeuners</t>
  </si>
  <si>
    <t xml:space="preserve">Spa </t>
  </si>
  <si>
    <t xml:space="preserve">Activites excursion </t>
  </si>
  <si>
    <t>Boissons alcools</t>
  </si>
  <si>
    <t xml:space="preserve">Loyers Holding </t>
  </si>
  <si>
    <t xml:space="preserve">Commissions plateformes </t>
  </si>
  <si>
    <t xml:space="preserve">Location de materiel </t>
  </si>
  <si>
    <t>Prime d'assurance</t>
  </si>
  <si>
    <t>Publicité et communication</t>
  </si>
  <si>
    <t xml:space="preserve">Impots locaux </t>
  </si>
  <si>
    <t>Dotations aux amortissements immos corpo</t>
  </si>
  <si>
    <t>Dotations aux amortissements immos incorpo</t>
  </si>
  <si>
    <t xml:space="preserve">Résultat net de l'exercice </t>
  </si>
  <si>
    <t>▼  RÉSULTAT AUTOMATIQUE  (Ne pas modifier ces colonnes)</t>
  </si>
  <si>
    <t xml:space="preserve">Source : Bank Al-Maghrib  Cours moyen </t>
  </si>
  <si>
    <t>OUTIL DE CONVERSION AUTOMATIQUE  BALANCE MAROCAINE (CGNC / MAD) → BALANCE FRANÇAISE (PCG / EUR)</t>
  </si>
  <si>
    <t>TABLE DE CORRESPONDANCE COMPLÈTE PLAN COMPTABLE MAROCAIN (CGNC) → PCG FRANCE (ANC 2026)</t>
  </si>
  <si>
    <t>Sources : CGNC Maroc (9 classes) + PCG France ANC v.2026  |  ✓ correspondance directe  |  ≈ approchée  |  ⚠ différence notable  |  ✗ sans équivalent PCG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</si>
</sst>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&quot; MAD&quot;"/>
    <numFmt numFmtId="165" formatCode="#,##0.00;\-#,##0.00;\-"/>
    <numFmt numFmtId="166" formatCode="#,##0.00&quot; €&quot;;\-#,##0.00&quot; €&quot;;\-"/>
    <numFmt numFmtId="167" formatCode="#,##0.00&quot; MAD&quot;;\-#,##0.00&quot; MAD&quot;;\-"/>
  </numFmts>
  <fonts count="30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b/>
      <sz val="10"/>
      <color rgb="FFFFFFFF"/>
      <name val="Arial"/>
      <family val="2"/>
    </font>
    <font>
      <i/>
      <sz val="8"/>
      <color rgb="FF666666"/>
      <name val="Arial"/>
      <family val="2"/>
    </font>
    <font>
      <b/>
      <sz val="9"/>
      <color rgb="FF1F3864"/>
      <name val="Arial"/>
      <family val="2"/>
    </font>
    <font>
      <sz val="9"/>
      <color rgb="FF1F1F1F"/>
      <name val="Arial"/>
      <family val="2"/>
    </font>
    <font>
      <b/>
      <sz val="10"/>
      <color rgb="FF375623"/>
      <name val="Arial"/>
      <family val="2"/>
    </font>
    <font>
      <b/>
      <sz val="9"/>
      <color rgb="FF2E75B6"/>
      <name val="Arial"/>
      <family val="2"/>
    </font>
    <font>
      <sz val="9"/>
      <color rgb="FF2E75B6"/>
      <name val="Arial"/>
      <family val="2"/>
    </font>
    <font>
      <b/>
      <sz val="8"/>
      <color rgb="FF2E75B6"/>
      <name val="Arial"/>
      <family val="2"/>
    </font>
    <font>
      <sz val="8"/>
      <color rgb="FF333333"/>
      <name val="Arial"/>
      <family val="2"/>
    </font>
    <font>
      <b/>
      <sz val="10"/>
      <color rgb="FF7B3F00"/>
      <name val="Arial"/>
      <family val="2"/>
    </font>
    <font>
      <b/>
      <sz val="10"/>
      <color rgb="FFC55A11"/>
      <name val="Arial"/>
      <family val="2"/>
    </font>
    <font>
      <sz val="8"/>
      <color rgb="FFC55A11"/>
      <name val="Arial"/>
      <family val="2"/>
    </font>
    <font>
      <b/>
      <sz val="10"/>
      <color rgb="FFC00000"/>
      <name val="Arial"/>
      <family val="2"/>
    </font>
    <font>
      <b/>
      <i/>
      <sz val="9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color rgb="FFC55A11"/>
      <name val="Arial"/>
      <family val="2"/>
    </font>
    <font>
      <sz val="9"/>
      <name val="Arial"/>
      <family val="2"/>
    </font>
    <font>
      <sz val="9"/>
      <color rgb="FF375623"/>
      <name val="Arial"/>
      <family val="2"/>
    </font>
    <font>
      <sz val="8"/>
      <name val="Arial"/>
      <family val="2"/>
    </font>
    <font>
      <sz val="7"/>
      <color rgb="FFEEEEEE"/>
      <name val="Arial"/>
      <family val="2"/>
    </font>
    <font>
      <b/>
      <sz val="9"/>
      <color rgb="FF333333"/>
      <name val="Arial"/>
      <family val="2"/>
    </font>
    <font>
      <b/>
      <sz val="9"/>
      <color rgb="FF375623"/>
      <name val="Arial"/>
      <family val="2"/>
    </font>
    <font>
      <sz val="7"/>
      <color theme="1"/>
      <name val="Arial"/>
      <family val="2"/>
    </font>
    <font>
      <b/>
      <i/>
      <sz val="9"/>
      <color rgb="FF555555"/>
      <name val="Arial"/>
      <family val="2"/>
    </font>
    <font>
      <i/>
      <sz val="9"/>
      <color rgb="FF333333"/>
      <name val="Arial"/>
      <family val="2"/>
    </font>
    <font>
      <b/>
      <i/>
      <sz val="9"/>
      <color rgb="FFC55A11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rgb="FF1F3864"/>
        <bgColor rgb="FF17375E"/>
      </patternFill>
    </fill>
    <fill>
      <patternFill patternType="solid">
        <fgColor rgb="FFFFF9C4"/>
        <bgColor rgb="FFFFF2CC"/>
      </patternFill>
    </fill>
    <fill>
      <patternFill patternType="solid">
        <fgColor rgb="FFC55A11"/>
        <bgColor rgb="FF843C0C"/>
      </patternFill>
    </fill>
    <fill>
      <patternFill patternType="solid">
        <fgColor rgb="FF2E75B6"/>
        <bgColor rgb="FF2F5496"/>
      </patternFill>
    </fill>
    <fill>
      <patternFill patternType="solid">
        <fgColor rgb="FF2F4F4F"/>
        <bgColor rgb="FF243F60"/>
      </patternFill>
    </fill>
    <fill>
      <patternFill patternType="solid">
        <fgColor rgb="FF888888"/>
        <bgColor rgb="FF666666"/>
      </patternFill>
    </fill>
    <fill>
      <patternFill patternType="solid">
        <fgColor rgb="FFF5F5F5"/>
        <bgColor rgb="FFF8F8F8"/>
      </patternFill>
    </fill>
    <fill>
      <patternFill patternType="solid">
        <fgColor rgb="FFFFF8F0"/>
        <bgColor rgb="FFFFF5F0"/>
      </patternFill>
    </fill>
    <fill>
      <patternFill patternType="solid">
        <fgColor rgb="FFE2EFDA"/>
        <bgColor rgb="FFE2F0E2"/>
      </patternFill>
    </fill>
    <fill>
      <patternFill patternType="solid">
        <fgColor rgb="FFFFF3E0"/>
        <bgColor rgb="FFFFEEE0"/>
      </patternFill>
    </fill>
    <fill>
      <patternFill patternType="solid">
        <fgColor rgb="FFFFF2CC"/>
        <bgColor rgb="FFFFF9C4"/>
      </patternFill>
    </fill>
    <fill>
      <patternFill patternType="solid">
        <fgColor rgb="FFFCE4D6"/>
        <bgColor rgb="FFFFE0E0"/>
      </patternFill>
    </fill>
    <fill>
      <patternFill patternType="solid">
        <fgColor rgb="FF2F5496"/>
        <bgColor rgb="FF1F497D"/>
      </patternFill>
    </fill>
    <fill>
      <patternFill patternType="solid">
        <fgColor rgb="FFE8F0FE"/>
        <bgColor rgb="FFE8F4FD"/>
      </patternFill>
    </fill>
    <fill>
      <patternFill patternType="solid">
        <fgColor rgb="FFF0F4FF"/>
        <bgColor rgb="FFF5F5F5"/>
      </patternFill>
    </fill>
    <fill>
      <patternFill patternType="solid">
        <fgColor rgb="FF17375E"/>
        <bgColor rgb="FF1F3864"/>
      </patternFill>
    </fill>
    <fill>
      <patternFill patternType="solid">
        <fgColor rgb="FFE2F0E2"/>
        <bgColor rgb="FFE2EFDA"/>
      </patternFill>
    </fill>
    <fill>
      <patternFill patternType="solid">
        <fgColor rgb="FFF0FFF0"/>
        <bgColor rgb="FFF5FFF0"/>
      </patternFill>
    </fill>
    <fill>
      <patternFill patternType="solid">
        <fgColor rgb="FF243F60"/>
        <bgColor rgb="FF1F3864"/>
      </patternFill>
    </fill>
    <fill>
      <patternFill patternType="solid">
        <fgColor rgb="FFF5E6FF"/>
        <bgColor rgb="FFEEEEEE"/>
      </patternFill>
    </fill>
    <fill>
      <patternFill patternType="solid">
        <fgColor rgb="FFFFF0FF"/>
        <bgColor rgb="FFFFF0F0"/>
      </patternFill>
    </fill>
    <fill>
      <patternFill patternType="solid">
        <fgColor rgb="FF1F497D"/>
        <bgColor rgb="FF243F60"/>
      </patternFill>
    </fill>
    <fill>
      <patternFill patternType="solid">
        <fgColor rgb="FFF0FFFF"/>
        <bgColor rgb="FFF0FFF0"/>
      </patternFill>
    </fill>
    <fill>
      <patternFill patternType="solid">
        <fgColor rgb="FFE0F7FA"/>
        <bgColor rgb="FFE8F4FD"/>
      </patternFill>
    </fill>
    <fill>
      <patternFill patternType="solid">
        <fgColor rgb="FF843C0C"/>
        <bgColor rgb="FF7B3F00"/>
      </patternFill>
    </fill>
    <fill>
      <patternFill patternType="solid">
        <fgColor rgb="FFFFEEE0"/>
        <bgColor rgb="FFFFF3E0"/>
      </patternFill>
    </fill>
    <fill>
      <patternFill patternType="solid">
        <fgColor rgb="FFFFF5F0"/>
        <bgColor rgb="FFFFF8F0"/>
      </patternFill>
    </fill>
    <fill>
      <patternFill patternType="solid">
        <fgColor rgb="FF375623"/>
        <bgColor rgb="FF2F4F4F"/>
      </patternFill>
    </fill>
    <fill>
      <patternFill patternType="solid">
        <fgColor rgb="FFEDFAED"/>
        <bgColor rgb="FFF0FFF0"/>
      </patternFill>
    </fill>
    <fill>
      <patternFill patternType="solid">
        <fgColor rgb="FFF5FFF0"/>
        <bgColor rgb="FFF0FFF0"/>
      </patternFill>
    </fill>
    <fill>
      <patternFill patternType="solid">
        <fgColor rgb="FF7B3F00"/>
        <bgColor rgb="FF843C0C"/>
      </patternFill>
    </fill>
    <fill>
      <patternFill patternType="solid">
        <fgColor rgb="FFFFF0F0"/>
        <bgColor rgb="FFFFF5F0"/>
      </patternFill>
    </fill>
    <fill>
      <patternFill patternType="solid">
        <fgColor rgb="FFFFE0E0"/>
        <bgColor rgb="FFFCE4D6"/>
      </patternFill>
    </fill>
    <fill>
      <patternFill patternType="solid">
        <fgColor rgb="FF595959"/>
        <bgColor rgb="FF555555"/>
      </patternFill>
    </fill>
    <fill>
      <patternFill patternType="solid">
        <fgColor rgb="FFF8F8F8"/>
        <bgColor rgb="FFF5F5F5"/>
      </patternFill>
    </fill>
    <fill>
      <patternFill patternType="solid">
        <fgColor rgb="FFF0F0F0"/>
        <bgColor rgb="FFEEEEEE"/>
      </patternFill>
    </fill>
    <fill>
      <patternFill patternType="solid">
        <fgColor rgb="FFDCDCDC"/>
        <bgColor rgb="FFE2EFDA"/>
      </patternFill>
    </fill>
    <fill>
      <patternFill patternType="solid">
        <fgColor rgb="FFE8F4FD"/>
        <bgColor rgb="FFE8F0FE"/>
      </patternFill>
    </fill>
    <fill>
      <patternFill patternType="solid">
        <fgColor rgb="FFFFFFFF"/>
        <bgColor rgb="FFF8F8F8"/>
      </patternFill>
    </fill>
    <fill>
      <patternFill patternType="solid">
        <fgColor rgb="FFF2F2F2"/>
        <bgColor rgb="FFF0F0F0"/>
      </patternFill>
    </fill>
    <fill>
      <patternFill patternType="solid">
        <fgColor theme="4" tint="0.79998168889431442"/>
        <bgColor rgb="FFE8F0FE"/>
      </patternFill>
    </fill>
    <fill>
      <patternFill patternType="solid">
        <fgColor theme="4" tint="0.79998168889431442"/>
        <bgColor rgb="FFF8F8F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rgb="FFFFEEE0"/>
      </patternFill>
    </fill>
    <fill>
      <patternFill patternType="solid">
        <fgColor theme="9" tint="0.79998168889431442"/>
        <bgColor rgb="FFF8F8F8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/>
      <top style="medium">
        <color rgb="FF888888"/>
      </top>
      <bottom style="medium">
        <color rgb="FF888888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91">
    <xf numFmtId="0" fontId="0" fillId="0" borderId="0" xfId="0"/>
    <xf numFmtId="0" fontId="0" fillId="0" borderId="0" xfId="0" applyAlignment="1"/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left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left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left"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left" vertical="center" wrapText="1"/>
    </xf>
    <xf numFmtId="0" fontId="12" fillId="15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left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10" fillId="18" borderId="1" xfId="0" applyFont="1" applyFill="1" applyBorder="1" applyAlignment="1">
      <alignment horizontal="left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left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10" fillId="19" borderId="1" xfId="0" applyFont="1" applyFill="1" applyBorder="1" applyAlignment="1">
      <alignment horizontal="left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2" fillId="19" borderId="1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 wrapText="1"/>
    </xf>
    <xf numFmtId="0" fontId="7" fillId="21" borderId="1" xfId="0" applyFont="1" applyFill="1" applyBorder="1" applyAlignment="1">
      <alignment horizontal="left" vertical="center" wrapText="1"/>
    </xf>
    <xf numFmtId="0" fontId="9" fillId="21" borderId="1" xfId="0" applyFont="1" applyFill="1" applyBorder="1" applyAlignment="1">
      <alignment horizontal="center" vertical="center" wrapText="1"/>
    </xf>
    <xf numFmtId="0" fontId="10" fillId="21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vertical="center" wrapText="1"/>
    </xf>
    <xf numFmtId="0" fontId="7" fillId="22" borderId="1" xfId="0" applyFont="1" applyFill="1" applyBorder="1" applyAlignment="1">
      <alignment horizontal="left" vertical="center" wrapText="1"/>
    </xf>
    <xf numFmtId="0" fontId="9" fillId="22" borderId="1" xfId="0" applyFont="1" applyFill="1" applyBorder="1" applyAlignment="1">
      <alignment horizontal="center" vertical="center" wrapText="1"/>
    </xf>
    <xf numFmtId="0" fontId="10" fillId="22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2" fillId="22" borderId="1" xfId="0" applyFont="1" applyFill="1" applyBorder="1" applyAlignment="1">
      <alignment horizontal="left" vertical="center" wrapText="1"/>
    </xf>
    <xf numFmtId="0" fontId="12" fillId="21" borderId="1" xfId="0" applyFont="1" applyFill="1" applyBorder="1" applyAlignment="1">
      <alignment horizontal="left"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6" fillId="24" borderId="1" xfId="0" applyFont="1" applyFill="1" applyBorder="1" applyAlignment="1">
      <alignment horizontal="center" vertical="center" wrapText="1"/>
    </xf>
    <xf numFmtId="0" fontId="7" fillId="24" borderId="1" xfId="0" applyFont="1" applyFill="1" applyBorder="1" applyAlignment="1">
      <alignment horizontal="left" vertical="center" wrapText="1"/>
    </xf>
    <xf numFmtId="0" fontId="9" fillId="24" borderId="1" xfId="0" applyFont="1" applyFill="1" applyBorder="1" applyAlignment="1">
      <alignment horizontal="center" vertical="center" wrapText="1"/>
    </xf>
    <xf numFmtId="0" fontId="10" fillId="24" borderId="1" xfId="0" applyFont="1" applyFill="1" applyBorder="1" applyAlignment="1">
      <alignment horizontal="left" vertical="center" wrapText="1"/>
    </xf>
    <xf numFmtId="0" fontId="11" fillId="24" borderId="1" xfId="0" applyFont="1" applyFill="1" applyBorder="1" applyAlignment="1">
      <alignment horizontal="center" vertical="center" wrapText="1"/>
    </xf>
    <xf numFmtId="0" fontId="12" fillId="24" borderId="1" xfId="0" applyFont="1" applyFill="1" applyBorder="1" applyAlignment="1">
      <alignment horizontal="left" vertical="center" wrapText="1"/>
    </xf>
    <xf numFmtId="0" fontId="6" fillId="25" borderId="1" xfId="0" applyFont="1" applyFill="1" applyBorder="1" applyAlignment="1">
      <alignment horizontal="center" vertical="center" wrapText="1"/>
    </xf>
    <xf numFmtId="0" fontId="7" fillId="25" borderId="1" xfId="0" applyFont="1" applyFill="1" applyBorder="1" applyAlignment="1">
      <alignment horizontal="left" vertical="center" wrapText="1"/>
    </xf>
    <xf numFmtId="0" fontId="9" fillId="25" borderId="1" xfId="0" applyFont="1" applyFill="1" applyBorder="1" applyAlignment="1">
      <alignment horizontal="center" vertical="center" wrapText="1"/>
    </xf>
    <xf numFmtId="0" fontId="10" fillId="25" borderId="1" xfId="0" applyFont="1" applyFill="1" applyBorder="1" applyAlignment="1">
      <alignment horizontal="left" vertical="center" wrapText="1"/>
    </xf>
    <xf numFmtId="0" fontId="11" fillId="25" borderId="1" xfId="0" applyFont="1" applyFill="1" applyBorder="1" applyAlignment="1">
      <alignment horizontal="center" vertical="center" wrapText="1"/>
    </xf>
    <xf numFmtId="0" fontId="12" fillId="25" borderId="1" xfId="0" applyFont="1" applyFill="1" applyBorder="1" applyAlignment="1">
      <alignment horizontal="left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6" fillId="27" borderId="1" xfId="0" applyFont="1" applyFill="1" applyBorder="1" applyAlignment="1">
      <alignment horizontal="center" vertical="center" wrapText="1"/>
    </xf>
    <xf numFmtId="0" fontId="7" fillId="27" borderId="1" xfId="0" applyFont="1" applyFill="1" applyBorder="1" applyAlignment="1">
      <alignment horizontal="left" vertical="center" wrapText="1"/>
    </xf>
    <xf numFmtId="0" fontId="9" fillId="27" borderId="1" xfId="0" applyFont="1" applyFill="1" applyBorder="1" applyAlignment="1">
      <alignment horizontal="center" vertical="center" wrapText="1"/>
    </xf>
    <xf numFmtId="0" fontId="10" fillId="27" borderId="1" xfId="0" applyFont="1" applyFill="1" applyBorder="1" applyAlignment="1">
      <alignment horizontal="left" vertical="center" wrapText="1"/>
    </xf>
    <xf numFmtId="0" fontId="11" fillId="27" borderId="1" xfId="0" applyFont="1" applyFill="1" applyBorder="1" applyAlignment="1">
      <alignment horizontal="center" vertical="center" wrapText="1"/>
    </xf>
    <xf numFmtId="0" fontId="12" fillId="27" borderId="1" xfId="0" applyFont="1" applyFill="1" applyBorder="1" applyAlignment="1">
      <alignment horizontal="left" vertical="center" wrapText="1"/>
    </xf>
    <xf numFmtId="0" fontId="6" fillId="28" borderId="1" xfId="0" applyFont="1" applyFill="1" applyBorder="1" applyAlignment="1">
      <alignment horizontal="center" vertical="center" wrapText="1"/>
    </xf>
    <xf numFmtId="0" fontId="7" fillId="28" borderId="1" xfId="0" applyFont="1" applyFill="1" applyBorder="1" applyAlignment="1">
      <alignment horizontal="left" vertical="center" wrapText="1"/>
    </xf>
    <xf numFmtId="0" fontId="9" fillId="28" borderId="1" xfId="0" applyFont="1" applyFill="1" applyBorder="1" applyAlignment="1">
      <alignment horizontal="center" vertical="center" wrapText="1"/>
    </xf>
    <xf numFmtId="0" fontId="10" fillId="28" borderId="1" xfId="0" applyFont="1" applyFill="1" applyBorder="1" applyAlignment="1">
      <alignment horizontal="left" vertical="center" wrapText="1"/>
    </xf>
    <xf numFmtId="0" fontId="11" fillId="28" borderId="1" xfId="0" applyFont="1" applyFill="1" applyBorder="1" applyAlignment="1">
      <alignment horizontal="center" vertical="center" wrapText="1"/>
    </xf>
    <xf numFmtId="0" fontId="12" fillId="28" borderId="1" xfId="0" applyFont="1" applyFill="1" applyBorder="1" applyAlignment="1">
      <alignment horizontal="left" vertical="center" wrapText="1"/>
    </xf>
    <xf numFmtId="0" fontId="3" fillId="29" borderId="1" xfId="0" applyFont="1" applyFill="1" applyBorder="1" applyAlignment="1">
      <alignment horizontal="center" vertical="center" wrapText="1"/>
    </xf>
    <xf numFmtId="0" fontId="6" fillId="30" borderId="1" xfId="0" applyFont="1" applyFill="1" applyBorder="1" applyAlignment="1">
      <alignment horizontal="center" vertical="center" wrapText="1"/>
    </xf>
    <xf numFmtId="0" fontId="7" fillId="30" borderId="1" xfId="0" applyFont="1" applyFill="1" applyBorder="1" applyAlignment="1">
      <alignment horizontal="left" vertical="center" wrapText="1"/>
    </xf>
    <xf numFmtId="0" fontId="9" fillId="30" borderId="1" xfId="0" applyFont="1" applyFill="1" applyBorder="1" applyAlignment="1">
      <alignment horizontal="center" vertical="center" wrapText="1"/>
    </xf>
    <xf numFmtId="0" fontId="10" fillId="30" borderId="1" xfId="0" applyFont="1" applyFill="1" applyBorder="1" applyAlignment="1">
      <alignment horizontal="left" vertical="center" wrapText="1"/>
    </xf>
    <xf numFmtId="0" fontId="11" fillId="30" borderId="1" xfId="0" applyFont="1" applyFill="1" applyBorder="1" applyAlignment="1">
      <alignment horizontal="center" vertical="center" wrapText="1"/>
    </xf>
    <xf numFmtId="0" fontId="12" fillId="30" borderId="1" xfId="0" applyFont="1" applyFill="1" applyBorder="1" applyAlignment="1">
      <alignment horizontal="left" vertical="center" wrapText="1"/>
    </xf>
    <xf numFmtId="0" fontId="6" fillId="31" borderId="1" xfId="0" applyFont="1" applyFill="1" applyBorder="1" applyAlignment="1">
      <alignment horizontal="center" vertical="center" wrapText="1"/>
    </xf>
    <xf numFmtId="0" fontId="7" fillId="31" borderId="1" xfId="0" applyFont="1" applyFill="1" applyBorder="1" applyAlignment="1">
      <alignment horizontal="left" vertical="center" wrapText="1"/>
    </xf>
    <xf numFmtId="0" fontId="9" fillId="31" borderId="1" xfId="0" applyFont="1" applyFill="1" applyBorder="1" applyAlignment="1">
      <alignment horizontal="center" vertical="center" wrapText="1"/>
    </xf>
    <xf numFmtId="0" fontId="10" fillId="31" borderId="1" xfId="0" applyFont="1" applyFill="1" applyBorder="1" applyAlignment="1">
      <alignment horizontal="left" vertical="center" wrapText="1"/>
    </xf>
    <xf numFmtId="0" fontId="11" fillId="31" borderId="1" xfId="0" applyFont="1" applyFill="1" applyBorder="1" applyAlignment="1">
      <alignment horizontal="center" vertical="center" wrapText="1"/>
    </xf>
    <xf numFmtId="0" fontId="12" fillId="31" borderId="1" xfId="0" applyFont="1" applyFill="1" applyBorder="1" applyAlignment="1">
      <alignment horizontal="left" vertical="center" wrapText="1"/>
    </xf>
    <xf numFmtId="0" fontId="3" fillId="32" borderId="1" xfId="0" applyFont="1" applyFill="1" applyBorder="1" applyAlignment="1">
      <alignment horizontal="center" vertical="center" wrapText="1"/>
    </xf>
    <xf numFmtId="0" fontId="6" fillId="33" borderId="1" xfId="0" applyFont="1" applyFill="1" applyBorder="1" applyAlignment="1">
      <alignment horizontal="center" vertical="center" wrapText="1"/>
    </xf>
    <xf numFmtId="0" fontId="7" fillId="33" borderId="1" xfId="0" applyFont="1" applyFill="1" applyBorder="1" applyAlignment="1">
      <alignment horizontal="left" vertical="center" wrapText="1"/>
    </xf>
    <xf numFmtId="0" fontId="16" fillId="34" borderId="1" xfId="0" applyFont="1" applyFill="1" applyBorder="1" applyAlignment="1">
      <alignment horizontal="center" vertical="center" wrapText="1"/>
    </xf>
    <xf numFmtId="0" fontId="9" fillId="33" borderId="1" xfId="0" applyFont="1" applyFill="1" applyBorder="1" applyAlignment="1">
      <alignment horizontal="center" vertical="center" wrapText="1"/>
    </xf>
    <xf numFmtId="0" fontId="10" fillId="33" borderId="1" xfId="0" applyFont="1" applyFill="1" applyBorder="1" applyAlignment="1">
      <alignment horizontal="left" vertical="center" wrapText="1"/>
    </xf>
    <xf numFmtId="0" fontId="11" fillId="33" borderId="1" xfId="0" applyFont="1" applyFill="1" applyBorder="1" applyAlignment="1">
      <alignment horizontal="center" vertical="center" wrapText="1"/>
    </xf>
    <xf numFmtId="0" fontId="6" fillId="34" borderId="1" xfId="0" applyFont="1" applyFill="1" applyBorder="1" applyAlignment="1">
      <alignment horizontal="center" vertical="center" wrapText="1"/>
    </xf>
    <xf numFmtId="0" fontId="7" fillId="34" borderId="1" xfId="0" applyFont="1" applyFill="1" applyBorder="1" applyAlignment="1">
      <alignment horizontal="left" vertical="center" wrapText="1"/>
    </xf>
    <xf numFmtId="0" fontId="9" fillId="34" borderId="1" xfId="0" applyFont="1" applyFill="1" applyBorder="1" applyAlignment="1">
      <alignment horizontal="center" vertical="center" wrapText="1"/>
    </xf>
    <xf numFmtId="0" fontId="10" fillId="34" borderId="1" xfId="0" applyFont="1" applyFill="1" applyBorder="1" applyAlignment="1">
      <alignment horizontal="left" vertical="center" wrapText="1"/>
    </xf>
    <xf numFmtId="0" fontId="11" fillId="34" borderId="1" xfId="0" applyFont="1" applyFill="1" applyBorder="1" applyAlignment="1">
      <alignment horizontal="center" vertical="center" wrapText="1"/>
    </xf>
    <xf numFmtId="0" fontId="12" fillId="34" borderId="1" xfId="0" applyFont="1" applyFill="1" applyBorder="1" applyAlignment="1">
      <alignment horizontal="left" vertical="center" wrapText="1"/>
    </xf>
    <xf numFmtId="0" fontId="12" fillId="33" borderId="1" xfId="0" applyFont="1" applyFill="1" applyBorder="1" applyAlignment="1">
      <alignment horizontal="left" vertical="center" wrapText="1"/>
    </xf>
    <xf numFmtId="0" fontId="3" fillId="35" borderId="1" xfId="0" applyFont="1" applyFill="1" applyBorder="1" applyAlignment="1">
      <alignment horizontal="center" vertical="center" wrapText="1"/>
    </xf>
    <xf numFmtId="0" fontId="6" fillId="36" borderId="1" xfId="0" applyFont="1" applyFill="1" applyBorder="1" applyAlignment="1">
      <alignment horizontal="center" vertical="center" wrapText="1"/>
    </xf>
    <xf numFmtId="0" fontId="7" fillId="36" borderId="1" xfId="0" applyFont="1" applyFill="1" applyBorder="1" applyAlignment="1">
      <alignment horizontal="left" vertical="center" wrapText="1"/>
    </xf>
    <xf numFmtId="0" fontId="9" fillId="36" borderId="1" xfId="0" applyFont="1" applyFill="1" applyBorder="1" applyAlignment="1">
      <alignment horizontal="center" vertical="center" wrapText="1"/>
    </xf>
    <xf numFmtId="0" fontId="10" fillId="36" borderId="1" xfId="0" applyFont="1" applyFill="1" applyBorder="1" applyAlignment="1">
      <alignment horizontal="left" vertical="center" wrapText="1"/>
    </xf>
    <xf numFmtId="0" fontId="11" fillId="36" borderId="1" xfId="0" applyFont="1" applyFill="1" applyBorder="1" applyAlignment="1">
      <alignment horizontal="center" vertical="center" wrapText="1"/>
    </xf>
    <xf numFmtId="0" fontId="6" fillId="37" borderId="1" xfId="0" applyFont="1" applyFill="1" applyBorder="1" applyAlignment="1">
      <alignment horizontal="center" vertical="center" wrapText="1"/>
    </xf>
    <xf numFmtId="0" fontId="7" fillId="37" borderId="1" xfId="0" applyFont="1" applyFill="1" applyBorder="1" applyAlignment="1">
      <alignment horizontal="left" vertical="center" wrapText="1"/>
    </xf>
    <xf numFmtId="0" fontId="9" fillId="37" borderId="1" xfId="0" applyFont="1" applyFill="1" applyBorder="1" applyAlignment="1">
      <alignment horizontal="center" vertical="center" wrapText="1"/>
    </xf>
    <xf numFmtId="0" fontId="10" fillId="37" borderId="1" xfId="0" applyFont="1" applyFill="1" applyBorder="1" applyAlignment="1">
      <alignment horizontal="left" vertical="center" wrapText="1"/>
    </xf>
    <xf numFmtId="0" fontId="11" fillId="37" borderId="1" xfId="0" applyFont="1" applyFill="1" applyBorder="1" applyAlignment="1">
      <alignment horizontal="center" vertical="center" wrapText="1"/>
    </xf>
    <xf numFmtId="0" fontId="12" fillId="37" borderId="1" xfId="0" applyFont="1" applyFill="1" applyBorder="1" applyAlignment="1">
      <alignment horizontal="left" vertical="center" wrapText="1"/>
    </xf>
    <xf numFmtId="0" fontId="12" fillId="36" borderId="1" xfId="0" applyFont="1" applyFill="1" applyBorder="1" applyAlignment="1">
      <alignment horizontal="left" vertical="center" wrapText="1"/>
    </xf>
    <xf numFmtId="164" fontId="19" fillId="12" borderId="4" xfId="0" applyNumberFormat="1" applyFont="1" applyFill="1" applyBorder="1" applyAlignment="1">
      <alignment horizontal="center" vertical="center" wrapText="1"/>
    </xf>
    <xf numFmtId="0" fontId="0" fillId="38" borderId="0" xfId="0" applyFill="1" applyAlignment="1"/>
    <xf numFmtId="0" fontId="2" fillId="38" borderId="1" xfId="0" applyFont="1" applyFill="1" applyBorder="1" applyAlignment="1">
      <alignment horizontal="center" vertical="center" wrapText="1"/>
    </xf>
    <xf numFmtId="0" fontId="22" fillId="39" borderId="1" xfId="0" applyFont="1" applyFill="1" applyBorder="1" applyAlignment="1">
      <alignment horizontal="left" vertical="center" wrapText="1"/>
    </xf>
    <xf numFmtId="0" fontId="22" fillId="40" borderId="1" xfId="0" applyFont="1" applyFill="1" applyBorder="1" applyAlignment="1">
      <alignment horizontal="left" vertical="center" wrapText="1"/>
    </xf>
    <xf numFmtId="0" fontId="23" fillId="0" borderId="0" xfId="0" applyFont="1"/>
    <xf numFmtId="167" fontId="4" fillId="2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/>
    <xf numFmtId="166" fontId="4" fillId="5" borderId="1" xfId="0" applyNumberFormat="1" applyFont="1" applyFill="1" applyBorder="1" applyAlignment="1">
      <alignment horizontal="center" vertical="center" wrapText="1"/>
    </xf>
    <xf numFmtId="0" fontId="0" fillId="38" borderId="1" xfId="0" applyFill="1" applyBorder="1" applyAlignment="1"/>
    <xf numFmtId="0" fontId="0" fillId="0" borderId="0" xfId="0" applyFont="1" applyAlignment="1"/>
    <xf numFmtId="0" fontId="26" fillId="0" borderId="0" xfId="0" applyFont="1" applyAlignment="1"/>
    <xf numFmtId="165" fontId="0" fillId="0" borderId="0" xfId="0" applyNumberFormat="1"/>
    <xf numFmtId="0" fontId="22" fillId="0" borderId="1" xfId="0" applyFont="1" applyFill="1" applyBorder="1" applyAlignment="1">
      <alignment horizontal="left" vertical="center" wrapText="1"/>
    </xf>
    <xf numFmtId="0" fontId="26" fillId="0" borderId="0" xfId="0" applyFont="1" applyFill="1" applyAlignment="1"/>
    <xf numFmtId="0" fontId="0" fillId="0" borderId="0" xfId="0" applyFill="1"/>
    <xf numFmtId="0" fontId="9" fillId="42" borderId="1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left" vertical="center" wrapText="1"/>
    </xf>
    <xf numFmtId="166" fontId="21" fillId="42" borderId="1" xfId="0" applyNumberFormat="1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left" vertical="center" wrapText="1"/>
    </xf>
    <xf numFmtId="166" fontId="21" fillId="43" borderId="1" xfId="0" applyNumberFormat="1" applyFont="1" applyFill="1" applyBorder="1" applyAlignment="1">
      <alignment horizontal="center" vertical="center" wrapText="1"/>
    </xf>
    <xf numFmtId="0" fontId="9" fillId="44" borderId="1" xfId="0" applyFont="1" applyFill="1" applyBorder="1" applyAlignment="1">
      <alignment horizontal="center" vertical="center" wrapText="1"/>
    </xf>
    <xf numFmtId="0" fontId="10" fillId="44" borderId="1" xfId="0" applyFont="1" applyFill="1" applyBorder="1" applyAlignment="1">
      <alignment horizontal="left" vertical="center" wrapText="1"/>
    </xf>
    <xf numFmtId="0" fontId="9" fillId="43" borderId="1" xfId="0" applyFont="1" applyFill="1" applyBorder="1" applyAlignment="1">
      <alignment horizontal="center" vertical="center" wrapText="1"/>
    </xf>
    <xf numFmtId="0" fontId="20" fillId="45" borderId="1" xfId="0" applyFont="1" applyFill="1" applyBorder="1" applyAlignment="1">
      <alignment horizontal="left" vertical="center" wrapText="1"/>
    </xf>
    <xf numFmtId="165" fontId="20" fillId="45" borderId="1" xfId="0" applyNumberFormat="1" applyFont="1" applyFill="1" applyBorder="1" applyAlignment="1">
      <alignment horizontal="center" vertical="center" wrapText="1"/>
    </xf>
    <xf numFmtId="0" fontId="20" fillId="46" borderId="1" xfId="0" applyFont="1" applyFill="1" applyBorder="1" applyAlignment="1">
      <alignment horizontal="left" vertical="center" wrapText="1"/>
    </xf>
    <xf numFmtId="165" fontId="20" fillId="46" borderId="1" xfId="0" applyNumberFormat="1" applyFont="1" applyFill="1" applyBorder="1" applyAlignment="1">
      <alignment horizontal="center" vertical="center" wrapText="1"/>
    </xf>
    <xf numFmtId="165" fontId="20" fillId="46" borderId="5" xfId="0" applyNumberFormat="1" applyFont="1" applyFill="1" applyBorder="1" applyAlignment="1">
      <alignment horizontal="center" vertical="center" wrapText="1"/>
    </xf>
    <xf numFmtId="39" fontId="0" fillId="47" borderId="0" xfId="0" applyNumberFormat="1" applyFill="1" applyAlignment="1"/>
    <xf numFmtId="0" fontId="20" fillId="47" borderId="1" xfId="0" applyFont="1" applyFill="1" applyBorder="1" applyAlignment="1">
      <alignment horizontal="left" vertical="center" wrapText="1"/>
    </xf>
    <xf numFmtId="165" fontId="20" fillId="47" borderId="1" xfId="0" applyNumberFormat="1" applyFont="1" applyFill="1" applyBorder="1" applyAlignment="1">
      <alignment horizontal="center" vertical="center" wrapText="1"/>
    </xf>
    <xf numFmtId="0" fontId="0" fillId="47" borderId="0" xfId="0" applyFill="1"/>
    <xf numFmtId="0" fontId="6" fillId="45" borderId="1" xfId="0" applyFont="1" applyFill="1" applyBorder="1" applyAlignment="1">
      <alignment horizontal="center" vertical="center" wrapText="1"/>
    </xf>
    <xf numFmtId="1" fontId="6" fillId="46" borderId="1" xfId="0" applyNumberFormat="1" applyFont="1" applyFill="1" applyBorder="1" applyAlignment="1">
      <alignment horizontal="center" vertical="center" wrapText="1"/>
    </xf>
    <xf numFmtId="0" fontId="6" fillId="46" borderId="1" xfId="0" applyFont="1" applyFill="1" applyBorder="1" applyAlignment="1">
      <alignment horizontal="center" vertical="center" wrapText="1"/>
    </xf>
    <xf numFmtId="0" fontId="6" fillId="47" borderId="1" xfId="0" applyFont="1" applyFill="1" applyBorder="1" applyAlignment="1">
      <alignment horizontal="center" vertical="center" wrapText="1"/>
    </xf>
    <xf numFmtId="1" fontId="6" fillId="45" borderId="1" xfId="0" applyNumberFormat="1" applyFont="1" applyFill="1" applyBorder="1" applyAlignment="1">
      <alignment horizontal="center" vertical="center" wrapText="1"/>
    </xf>
    <xf numFmtId="1" fontId="6" fillId="47" borderId="1" xfId="0" applyNumberFormat="1" applyFont="1" applyFill="1" applyBorder="1" applyAlignment="1">
      <alignment horizontal="center" vertical="center" wrapText="1"/>
    </xf>
    <xf numFmtId="0" fontId="4" fillId="35" borderId="2" xfId="0" applyFont="1" applyFill="1" applyBorder="1" applyAlignment="1">
      <alignment horizontal="left" vertical="center" wrapText="1"/>
    </xf>
    <xf numFmtId="0" fontId="17" fillId="2" borderId="0" xfId="0" applyFont="1" applyFill="1" applyBorder="1" applyAlignment="1">
      <alignment horizontal="center" vertical="center" wrapText="1"/>
    </xf>
    <xf numFmtId="0" fontId="4" fillId="20" borderId="2" xfId="0" applyFont="1" applyFill="1" applyBorder="1" applyAlignment="1">
      <alignment horizontal="left" vertical="center" wrapText="1"/>
    </xf>
    <xf numFmtId="0" fontId="4" fillId="23" borderId="2" xfId="0" applyFont="1" applyFill="1" applyBorder="1" applyAlignment="1">
      <alignment horizontal="left" vertical="center" wrapText="1"/>
    </xf>
    <xf numFmtId="0" fontId="4" fillId="26" borderId="2" xfId="0" applyFont="1" applyFill="1" applyBorder="1" applyAlignment="1">
      <alignment horizontal="left" vertical="center" wrapText="1"/>
    </xf>
    <xf numFmtId="0" fontId="4" fillId="29" borderId="2" xfId="0" applyFont="1" applyFill="1" applyBorder="1" applyAlignment="1">
      <alignment horizontal="left" vertical="center" wrapText="1"/>
    </xf>
    <xf numFmtId="0" fontId="4" fillId="32" borderId="2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8" fillId="3" borderId="0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14" borderId="2" xfId="0" applyFont="1" applyFill="1" applyBorder="1" applyAlignment="1">
      <alignment horizontal="left" vertical="center" wrapText="1"/>
    </xf>
    <xf numFmtId="0" fontId="4" fillId="17" borderId="2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9" fillId="12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4" fillId="41" borderId="3" xfId="0" applyFont="1" applyFill="1" applyBorder="1" applyAlignment="1">
      <alignment horizontal="center" vertical="center" wrapText="1"/>
    </xf>
    <xf numFmtId="0" fontId="25" fillId="41" borderId="1" xfId="0" applyFont="1" applyFill="1" applyBorder="1" applyAlignment="1">
      <alignment horizontal="center" vertical="center" wrapText="1"/>
    </xf>
    <xf numFmtId="0" fontId="9" fillId="41" borderId="1" xfId="0" applyFont="1" applyFill="1" applyBorder="1" applyAlignment="1">
      <alignment horizontal="center" vertical="center" wrapText="1"/>
    </xf>
    <xf numFmtId="166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F8F8F8"/>
      <rgbColor rgb="FF0000FF"/>
      <rgbColor rgb="FFFFF3E0"/>
      <rgbColor rgb="FFFFF0FF"/>
      <rgbColor rgb="FFF0FFFF"/>
      <rgbColor rgb="FF800000"/>
      <rgbColor rgb="FF375623"/>
      <rgbColor rgb="FF000080"/>
      <rgbColor rgb="FF555555"/>
      <rgbColor rgb="FFFFF8F0"/>
      <rgbColor rgb="FF1F497D"/>
      <rgbColor rgb="FFCCCCCC"/>
      <rgbColor rgb="FF888888"/>
      <rgbColor rgb="FFE8F0FE"/>
      <rgbColor rgb="FF7B3F00"/>
      <rgbColor rgb="FFFFF9C4"/>
      <rgbColor rgb="FFE0F7FA"/>
      <rgbColor rgb="FF660066"/>
      <rgbColor rgb="FFFFF0F0"/>
      <rgbColor rgb="FF2F5496"/>
      <rgbColor rgb="FFDCDCDC"/>
      <rgbColor rgb="FF000080"/>
      <rgbColor rgb="FFFFF5F0"/>
      <rgbColor rgb="FFFFEEE0"/>
      <rgbColor rgb="FFF0FFF0"/>
      <rgbColor rgb="FF800080"/>
      <rgbColor rgb="FF800000"/>
      <rgbColor rgb="FF2F4F4F"/>
      <rgbColor rgb="FF0000FF"/>
      <rgbColor rgb="FFF5FFF0"/>
      <rgbColor rgb="FFE8F4FD"/>
      <rgbColor rgb="FFE2EFDA"/>
      <rgbColor rgb="FFFFF2CC"/>
      <rgbColor rgb="FFE2F0E2"/>
      <rgbColor rgb="FFFFE0E0"/>
      <rgbColor rgb="FFF5E6FF"/>
      <rgbColor rgb="FFFCE4D6"/>
      <rgbColor rgb="FF2E75B6"/>
      <rgbColor rgb="FFF0F4FF"/>
      <rgbColor rgb="FFEDFAED"/>
      <rgbColor rgb="FFEEEEEE"/>
      <rgbColor rgb="FFF2F2F2"/>
      <rgbColor rgb="FFC55A11"/>
      <rgbColor rgb="FF666666"/>
      <rgbColor rgb="FFF0F0F0"/>
      <rgbColor rgb="FF17375E"/>
      <rgbColor rgb="FFF5F5F5"/>
      <rgbColor rgb="FF243F60"/>
      <rgbColor rgb="FF1F1F1F"/>
      <rgbColor rgb="FF843C0C"/>
      <rgbColor rgb="FF595959"/>
      <rgbColor rgb="FF1F3864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I371"/>
  <sheetViews>
    <sheetView zoomScaleNormal="100" workbookViewId="0">
      <pane ySplit="3" topLeftCell="A350" activePane="bottomLeft" state="frozen"/>
      <selection pane="bottomLeft" activeCell="I206" sqref="I206"/>
    </sheetView>
  </sheetViews>
  <sheetFormatPr baseColWidth="10" defaultColWidth="8.6640625" defaultRowHeight="15" x14ac:dyDescent="0.2"/>
  <cols>
    <col min="1" max="1" width="9" style="1" customWidth="1"/>
    <col min="2" max="2" width="16" style="1" customWidth="1"/>
    <col min="3" max="3" width="50" style="1" customWidth="1"/>
    <col min="4" max="4" width="8" style="1" customWidth="1"/>
    <col min="5" max="5" width="14" style="1" customWidth="1"/>
    <col min="6" max="6" width="50" style="1" customWidth="1"/>
    <col min="7" max="7" width="8" style="1" customWidth="1"/>
    <col min="8" max="8" width="67.6640625" style="1" customWidth="1"/>
    <col min="9" max="9" width="18" style="1" customWidth="1"/>
  </cols>
  <sheetData>
    <row r="1" spans="1:9" ht="30" customHeight="1" x14ac:dyDescent="0.2">
      <c r="A1" s="176" t="s">
        <v>1358</v>
      </c>
      <c r="B1" s="176"/>
      <c r="C1" s="176"/>
      <c r="D1" s="176"/>
      <c r="E1" s="176"/>
      <c r="F1" s="176"/>
      <c r="G1" s="176"/>
      <c r="H1" s="176"/>
    </row>
    <row r="2" spans="1:9" ht="18" customHeight="1" x14ac:dyDescent="0.2">
      <c r="A2" s="177" t="s">
        <v>1359</v>
      </c>
      <c r="B2" s="177"/>
      <c r="C2" s="177"/>
      <c r="D2" s="177"/>
      <c r="E2" s="177"/>
      <c r="F2" s="177"/>
      <c r="G2" s="177"/>
      <c r="H2" s="177"/>
    </row>
    <row r="3" spans="1:9" ht="31.5" customHeight="1" x14ac:dyDescent="0.2">
      <c r="A3" s="2" t="s">
        <v>0</v>
      </c>
      <c r="B3" s="2" t="s">
        <v>1</v>
      </c>
      <c r="C3" s="3" t="s">
        <v>2</v>
      </c>
      <c r="D3" s="2" t="s">
        <v>3</v>
      </c>
      <c r="E3" s="4" t="s">
        <v>4</v>
      </c>
      <c r="F3" s="4" t="s">
        <v>5</v>
      </c>
      <c r="G3" s="4" t="s">
        <v>6</v>
      </c>
      <c r="H3" s="5" t="s">
        <v>7</v>
      </c>
      <c r="I3" s="6" t="s">
        <v>8</v>
      </c>
    </row>
    <row r="4" spans="1:9" ht="21.75" customHeight="1" x14ac:dyDescent="0.2">
      <c r="A4" s="178" t="s">
        <v>9</v>
      </c>
      <c r="B4" s="178"/>
      <c r="C4" s="178"/>
      <c r="D4" s="178"/>
      <c r="E4" s="178"/>
      <c r="F4" s="178"/>
      <c r="G4" s="178"/>
      <c r="H4" s="178"/>
      <c r="I4" s="7"/>
    </row>
    <row r="5" spans="1:9" ht="15.75" customHeight="1" x14ac:dyDescent="0.2">
      <c r="A5" s="8" t="s">
        <v>10</v>
      </c>
      <c r="B5" s="9" t="s">
        <v>11</v>
      </c>
      <c r="C5" s="10" t="s">
        <v>12</v>
      </c>
      <c r="D5" s="11" t="s">
        <v>13</v>
      </c>
      <c r="E5" s="12" t="s">
        <v>14</v>
      </c>
      <c r="F5" s="13" t="s">
        <v>15</v>
      </c>
      <c r="G5" s="14" t="s">
        <v>10</v>
      </c>
      <c r="H5" s="15" t="s">
        <v>16</v>
      </c>
      <c r="I5" s="7" t="s">
        <v>11</v>
      </c>
    </row>
    <row r="6" spans="1:9" ht="15.75" customHeight="1" x14ac:dyDescent="0.2">
      <c r="A6" s="8" t="s">
        <v>10</v>
      </c>
      <c r="B6" s="16" t="s">
        <v>17</v>
      </c>
      <c r="C6" s="17" t="s">
        <v>18</v>
      </c>
      <c r="D6" s="11" t="s">
        <v>13</v>
      </c>
      <c r="E6" s="18" t="s">
        <v>19</v>
      </c>
      <c r="F6" s="19" t="s">
        <v>20</v>
      </c>
      <c r="G6" s="20" t="s">
        <v>10</v>
      </c>
      <c r="H6" s="21" t="s">
        <v>21</v>
      </c>
      <c r="I6" s="7" t="s">
        <v>17</v>
      </c>
    </row>
    <row r="7" spans="1:9" ht="15.75" customHeight="1" x14ac:dyDescent="0.2">
      <c r="A7" s="8" t="s">
        <v>10</v>
      </c>
      <c r="B7" s="9" t="s">
        <v>22</v>
      </c>
      <c r="C7" s="10" t="s">
        <v>23</v>
      </c>
      <c r="D7" s="22" t="s">
        <v>24</v>
      </c>
      <c r="E7" s="12" t="s">
        <v>25</v>
      </c>
      <c r="F7" s="13" t="s">
        <v>26</v>
      </c>
      <c r="G7" s="14" t="s">
        <v>10</v>
      </c>
      <c r="H7" s="15" t="s">
        <v>27</v>
      </c>
      <c r="I7" s="7" t="s">
        <v>22</v>
      </c>
    </row>
    <row r="8" spans="1:9" ht="15.75" customHeight="1" x14ac:dyDescent="0.2">
      <c r="A8" s="8" t="s">
        <v>10</v>
      </c>
      <c r="B8" s="16" t="s">
        <v>28</v>
      </c>
      <c r="C8" s="17" t="s">
        <v>29</v>
      </c>
      <c r="D8" s="22" t="s">
        <v>24</v>
      </c>
      <c r="E8" s="18" t="s">
        <v>25</v>
      </c>
      <c r="F8" s="19" t="s">
        <v>26</v>
      </c>
      <c r="G8" s="20" t="s">
        <v>10</v>
      </c>
      <c r="H8" s="21" t="s">
        <v>30</v>
      </c>
      <c r="I8" s="7" t="s">
        <v>28</v>
      </c>
    </row>
    <row r="9" spans="1:9" ht="15.75" customHeight="1" x14ac:dyDescent="0.2">
      <c r="A9" s="8" t="s">
        <v>10</v>
      </c>
      <c r="B9" s="9" t="s">
        <v>31</v>
      </c>
      <c r="C9" s="10" t="s">
        <v>32</v>
      </c>
      <c r="D9" s="11" t="s">
        <v>13</v>
      </c>
      <c r="E9" s="12" t="s">
        <v>33</v>
      </c>
      <c r="F9" s="13" t="s">
        <v>34</v>
      </c>
      <c r="G9" s="14" t="s">
        <v>10</v>
      </c>
      <c r="H9" s="15" t="s">
        <v>35</v>
      </c>
      <c r="I9" s="7" t="s">
        <v>31</v>
      </c>
    </row>
    <row r="10" spans="1:9" ht="15.75" customHeight="1" x14ac:dyDescent="0.2">
      <c r="A10" s="8" t="s">
        <v>10</v>
      </c>
      <c r="B10" s="16" t="s">
        <v>36</v>
      </c>
      <c r="C10" s="17" t="s">
        <v>37</v>
      </c>
      <c r="D10" s="11" t="s">
        <v>13</v>
      </c>
      <c r="E10" s="18" t="s">
        <v>38</v>
      </c>
      <c r="F10" s="19" t="s">
        <v>39</v>
      </c>
      <c r="G10" s="20" t="s">
        <v>10</v>
      </c>
      <c r="H10" s="21" t="s">
        <v>40</v>
      </c>
      <c r="I10" s="7" t="s">
        <v>36</v>
      </c>
    </row>
    <row r="11" spans="1:9" ht="15.75" customHeight="1" x14ac:dyDescent="0.2">
      <c r="A11" s="8" t="s">
        <v>10</v>
      </c>
      <c r="B11" s="9" t="s">
        <v>41</v>
      </c>
      <c r="C11" s="10" t="s">
        <v>42</v>
      </c>
      <c r="D11" s="11" t="s">
        <v>13</v>
      </c>
      <c r="E11" s="12" t="s">
        <v>43</v>
      </c>
      <c r="F11" s="13" t="s">
        <v>42</v>
      </c>
      <c r="G11" s="14" t="s">
        <v>10</v>
      </c>
      <c r="H11" s="15" t="s">
        <v>16</v>
      </c>
      <c r="I11" s="7" t="s">
        <v>41</v>
      </c>
    </row>
    <row r="12" spans="1:9" ht="15.75" customHeight="1" x14ac:dyDescent="0.2">
      <c r="A12" s="8" t="s">
        <v>10</v>
      </c>
      <c r="B12" s="16" t="s">
        <v>44</v>
      </c>
      <c r="C12" s="17" t="s">
        <v>45</v>
      </c>
      <c r="D12" s="11" t="s">
        <v>13</v>
      </c>
      <c r="E12" s="18" t="s">
        <v>46</v>
      </c>
      <c r="F12" s="19" t="s">
        <v>45</v>
      </c>
      <c r="G12" s="20" t="s">
        <v>10</v>
      </c>
      <c r="H12" s="21" t="s">
        <v>16</v>
      </c>
      <c r="I12" s="7" t="s">
        <v>44</v>
      </c>
    </row>
    <row r="13" spans="1:9" ht="15.75" customHeight="1" x14ac:dyDescent="0.2">
      <c r="A13" s="8" t="s">
        <v>10</v>
      </c>
      <c r="B13" s="9" t="s">
        <v>47</v>
      </c>
      <c r="C13" s="10" t="s">
        <v>48</v>
      </c>
      <c r="D13" s="11" t="s">
        <v>13</v>
      </c>
      <c r="E13" s="12" t="s">
        <v>49</v>
      </c>
      <c r="F13" s="13" t="s">
        <v>48</v>
      </c>
      <c r="G13" s="14" t="s">
        <v>10</v>
      </c>
      <c r="H13" s="15" t="s">
        <v>16</v>
      </c>
      <c r="I13" s="7" t="s">
        <v>47</v>
      </c>
    </row>
    <row r="14" spans="1:9" ht="15.75" customHeight="1" x14ac:dyDescent="0.2">
      <c r="A14" s="8" t="s">
        <v>10</v>
      </c>
      <c r="B14" s="16" t="s">
        <v>50</v>
      </c>
      <c r="C14" s="17" t="s">
        <v>51</v>
      </c>
      <c r="D14" s="11" t="s">
        <v>13</v>
      </c>
      <c r="E14" s="18" t="s">
        <v>52</v>
      </c>
      <c r="F14" s="19" t="s">
        <v>53</v>
      </c>
      <c r="G14" s="20" t="s">
        <v>10</v>
      </c>
      <c r="H14" s="21" t="s">
        <v>16</v>
      </c>
      <c r="I14" s="7" t="s">
        <v>50</v>
      </c>
    </row>
    <row r="15" spans="1:9" ht="15.75" customHeight="1" x14ac:dyDescent="0.2">
      <c r="A15" s="8" t="s">
        <v>10</v>
      </c>
      <c r="B15" s="9" t="s">
        <v>54</v>
      </c>
      <c r="C15" s="10" t="s">
        <v>55</v>
      </c>
      <c r="D15" s="11" t="s">
        <v>13</v>
      </c>
      <c r="E15" s="12" t="s">
        <v>56</v>
      </c>
      <c r="F15" s="13" t="s">
        <v>55</v>
      </c>
      <c r="G15" s="14" t="s">
        <v>10</v>
      </c>
      <c r="H15" s="15" t="s">
        <v>16</v>
      </c>
      <c r="I15" s="7" t="s">
        <v>54</v>
      </c>
    </row>
    <row r="16" spans="1:9" ht="15.75" customHeight="1" x14ac:dyDescent="0.2">
      <c r="A16" s="8" t="s">
        <v>10</v>
      </c>
      <c r="B16" s="16" t="s">
        <v>57</v>
      </c>
      <c r="C16" s="17" t="s">
        <v>58</v>
      </c>
      <c r="D16" s="11" t="s">
        <v>13</v>
      </c>
      <c r="E16" s="18" t="s">
        <v>59</v>
      </c>
      <c r="F16" s="19" t="s">
        <v>60</v>
      </c>
      <c r="G16" s="20" t="s">
        <v>10</v>
      </c>
      <c r="H16" s="21" t="s">
        <v>61</v>
      </c>
      <c r="I16" s="7" t="s">
        <v>57</v>
      </c>
    </row>
    <row r="17" spans="1:9" ht="15.75" customHeight="1" x14ac:dyDescent="0.2">
      <c r="A17" s="8" t="s">
        <v>10</v>
      </c>
      <c r="B17" s="9" t="s">
        <v>62</v>
      </c>
      <c r="C17" s="10" t="s">
        <v>63</v>
      </c>
      <c r="D17" s="11" t="s">
        <v>13</v>
      </c>
      <c r="E17" s="12" t="s">
        <v>64</v>
      </c>
      <c r="F17" s="13" t="s">
        <v>63</v>
      </c>
      <c r="G17" s="14" t="s">
        <v>10</v>
      </c>
      <c r="H17" s="15" t="s">
        <v>16</v>
      </c>
      <c r="I17" s="7" t="s">
        <v>62</v>
      </c>
    </row>
    <row r="18" spans="1:9" ht="15.75" customHeight="1" x14ac:dyDescent="0.2">
      <c r="A18" s="8" t="s">
        <v>10</v>
      </c>
      <c r="B18" s="16" t="s">
        <v>65</v>
      </c>
      <c r="C18" s="17" t="s">
        <v>66</v>
      </c>
      <c r="D18" s="11" t="s">
        <v>13</v>
      </c>
      <c r="E18" s="18" t="s">
        <v>67</v>
      </c>
      <c r="F18" s="19" t="s">
        <v>58</v>
      </c>
      <c r="G18" s="20" t="s">
        <v>10</v>
      </c>
      <c r="H18" s="21" t="s">
        <v>16</v>
      </c>
      <c r="I18" s="7" t="s">
        <v>65</v>
      </c>
    </row>
    <row r="19" spans="1:9" ht="15.75" customHeight="1" x14ac:dyDescent="0.2">
      <c r="A19" s="8" t="s">
        <v>10</v>
      </c>
      <c r="B19" s="9" t="s">
        <v>68</v>
      </c>
      <c r="C19" s="10" t="s">
        <v>69</v>
      </c>
      <c r="D19" s="11" t="s">
        <v>13</v>
      </c>
      <c r="E19" s="12" t="s">
        <v>70</v>
      </c>
      <c r="F19" s="13" t="s">
        <v>69</v>
      </c>
      <c r="G19" s="14" t="s">
        <v>10</v>
      </c>
      <c r="H19" s="15" t="s">
        <v>16</v>
      </c>
      <c r="I19" s="7" t="s">
        <v>68</v>
      </c>
    </row>
    <row r="20" spans="1:9" ht="15.75" customHeight="1" x14ac:dyDescent="0.2">
      <c r="A20" s="8" t="s">
        <v>10</v>
      </c>
      <c r="B20" s="16" t="s">
        <v>71</v>
      </c>
      <c r="C20" s="17" t="s">
        <v>72</v>
      </c>
      <c r="D20" s="11" t="s">
        <v>13</v>
      </c>
      <c r="E20" s="18" t="s">
        <v>73</v>
      </c>
      <c r="F20" s="19" t="s">
        <v>74</v>
      </c>
      <c r="G20" s="20" t="s">
        <v>10</v>
      </c>
      <c r="H20" s="21" t="s">
        <v>16</v>
      </c>
      <c r="I20" s="7" t="s">
        <v>71</v>
      </c>
    </row>
    <row r="21" spans="1:9" ht="15.75" customHeight="1" x14ac:dyDescent="0.2">
      <c r="A21" s="8" t="s">
        <v>10</v>
      </c>
      <c r="B21" s="9" t="s">
        <v>75</v>
      </c>
      <c r="C21" s="10" t="s">
        <v>76</v>
      </c>
      <c r="D21" s="11" t="s">
        <v>13</v>
      </c>
      <c r="E21" s="12" t="s">
        <v>77</v>
      </c>
      <c r="F21" s="13" t="s">
        <v>78</v>
      </c>
      <c r="G21" s="14" t="s">
        <v>10</v>
      </c>
      <c r="H21" s="15" t="s">
        <v>16</v>
      </c>
      <c r="I21" s="7" t="s">
        <v>75</v>
      </c>
    </row>
    <row r="22" spans="1:9" ht="15.75" customHeight="1" x14ac:dyDescent="0.2">
      <c r="A22" s="8" t="s">
        <v>10</v>
      </c>
      <c r="B22" s="16" t="s">
        <v>79</v>
      </c>
      <c r="C22" s="17" t="s">
        <v>80</v>
      </c>
      <c r="D22" s="22" t="s">
        <v>24</v>
      </c>
      <c r="E22" s="18" t="s">
        <v>81</v>
      </c>
      <c r="F22" s="19" t="s">
        <v>82</v>
      </c>
      <c r="G22" s="20" t="s">
        <v>10</v>
      </c>
      <c r="H22" s="21" t="s">
        <v>83</v>
      </c>
      <c r="I22" s="7" t="s">
        <v>79</v>
      </c>
    </row>
    <row r="23" spans="1:9" ht="15.75" customHeight="1" x14ac:dyDescent="0.2">
      <c r="A23" s="8" t="s">
        <v>10</v>
      </c>
      <c r="B23" s="9" t="s">
        <v>84</v>
      </c>
      <c r="C23" s="10" t="s">
        <v>85</v>
      </c>
      <c r="D23" s="22" t="s">
        <v>24</v>
      </c>
      <c r="E23" s="12" t="s">
        <v>86</v>
      </c>
      <c r="F23" s="13" t="s">
        <v>87</v>
      </c>
      <c r="G23" s="14" t="s">
        <v>10</v>
      </c>
      <c r="H23" s="15" t="s">
        <v>88</v>
      </c>
      <c r="I23" s="7" t="s">
        <v>84</v>
      </c>
    </row>
    <row r="24" spans="1:9" ht="15.75" customHeight="1" x14ac:dyDescent="0.2">
      <c r="A24" s="8" t="s">
        <v>10</v>
      </c>
      <c r="B24" s="16" t="s">
        <v>89</v>
      </c>
      <c r="C24" s="17" t="s">
        <v>90</v>
      </c>
      <c r="D24" s="11" t="s">
        <v>13</v>
      </c>
      <c r="E24" s="18" t="s">
        <v>81</v>
      </c>
      <c r="F24" s="19" t="s">
        <v>82</v>
      </c>
      <c r="G24" s="20" t="s">
        <v>10</v>
      </c>
      <c r="H24" s="21" t="s">
        <v>16</v>
      </c>
      <c r="I24" s="7" t="s">
        <v>89</v>
      </c>
    </row>
    <row r="25" spans="1:9" ht="15.75" customHeight="1" x14ac:dyDescent="0.2">
      <c r="A25" s="8" t="s">
        <v>10</v>
      </c>
      <c r="B25" s="9" t="s">
        <v>91</v>
      </c>
      <c r="C25" s="10" t="s">
        <v>92</v>
      </c>
      <c r="D25" s="11" t="s">
        <v>13</v>
      </c>
      <c r="E25" s="12" t="s">
        <v>86</v>
      </c>
      <c r="F25" s="13" t="s">
        <v>87</v>
      </c>
      <c r="G25" s="14" t="s">
        <v>10</v>
      </c>
      <c r="H25" s="15" t="s">
        <v>16</v>
      </c>
      <c r="I25" s="7" t="s">
        <v>91</v>
      </c>
    </row>
    <row r="26" spans="1:9" ht="15.75" customHeight="1" x14ac:dyDescent="0.2">
      <c r="A26" s="8" t="s">
        <v>10</v>
      </c>
      <c r="B26" s="16" t="s">
        <v>93</v>
      </c>
      <c r="C26" s="17" t="s">
        <v>94</v>
      </c>
      <c r="D26" s="11" t="s">
        <v>13</v>
      </c>
      <c r="E26" s="18" t="s">
        <v>95</v>
      </c>
      <c r="F26" s="19" t="s">
        <v>96</v>
      </c>
      <c r="G26" s="20" t="s">
        <v>10</v>
      </c>
      <c r="H26" s="21" t="s">
        <v>16</v>
      </c>
      <c r="I26" s="7" t="s">
        <v>93</v>
      </c>
    </row>
    <row r="27" spans="1:9" ht="15.75" customHeight="1" x14ac:dyDescent="0.2">
      <c r="A27" s="8" t="s">
        <v>10</v>
      </c>
      <c r="B27" s="9" t="s">
        <v>97</v>
      </c>
      <c r="C27" s="10" t="s">
        <v>98</v>
      </c>
      <c r="D27" s="11" t="s">
        <v>13</v>
      </c>
      <c r="E27" s="12" t="s">
        <v>99</v>
      </c>
      <c r="F27" s="13" t="s">
        <v>100</v>
      </c>
      <c r="G27" s="14" t="s">
        <v>10</v>
      </c>
      <c r="H27" s="15" t="s">
        <v>16</v>
      </c>
      <c r="I27" s="7" t="s">
        <v>97</v>
      </c>
    </row>
    <row r="28" spans="1:9" ht="15.75" customHeight="1" x14ac:dyDescent="0.2">
      <c r="A28" s="8" t="s">
        <v>10</v>
      </c>
      <c r="B28" s="16" t="s">
        <v>101</v>
      </c>
      <c r="C28" s="17" t="s">
        <v>102</v>
      </c>
      <c r="D28" s="11" t="s">
        <v>13</v>
      </c>
      <c r="E28" s="18" t="s">
        <v>103</v>
      </c>
      <c r="F28" s="19" t="s">
        <v>102</v>
      </c>
      <c r="G28" s="20" t="s">
        <v>10</v>
      </c>
      <c r="H28" s="21" t="s">
        <v>104</v>
      </c>
      <c r="I28" s="7" t="s">
        <v>101</v>
      </c>
    </row>
    <row r="29" spans="1:9" ht="15.75" customHeight="1" x14ac:dyDescent="0.2">
      <c r="A29" s="8" t="s">
        <v>10</v>
      </c>
      <c r="B29" s="9" t="s">
        <v>105</v>
      </c>
      <c r="C29" s="10" t="s">
        <v>106</v>
      </c>
      <c r="D29" s="11" t="s">
        <v>13</v>
      </c>
      <c r="E29" s="12" t="s">
        <v>107</v>
      </c>
      <c r="F29" s="13" t="s">
        <v>108</v>
      </c>
      <c r="G29" s="14" t="s">
        <v>10</v>
      </c>
      <c r="H29" s="15" t="s">
        <v>16</v>
      </c>
      <c r="I29" s="7" t="s">
        <v>105</v>
      </c>
    </row>
    <row r="30" spans="1:9" ht="15.75" customHeight="1" x14ac:dyDescent="0.2">
      <c r="A30" s="8" t="s">
        <v>10</v>
      </c>
      <c r="B30" s="16" t="s">
        <v>109</v>
      </c>
      <c r="C30" s="17" t="s">
        <v>110</v>
      </c>
      <c r="D30" s="11" t="s">
        <v>13</v>
      </c>
      <c r="E30" s="18" t="s">
        <v>111</v>
      </c>
      <c r="F30" s="19" t="s">
        <v>112</v>
      </c>
      <c r="G30" s="20" t="s">
        <v>10</v>
      </c>
      <c r="H30" s="21" t="s">
        <v>21</v>
      </c>
      <c r="I30" s="7" t="s">
        <v>109</v>
      </c>
    </row>
    <row r="31" spans="1:9" ht="15.75" customHeight="1" x14ac:dyDescent="0.2">
      <c r="A31" s="8" t="s">
        <v>10</v>
      </c>
      <c r="B31" s="9" t="s">
        <v>113</v>
      </c>
      <c r="C31" s="10" t="s">
        <v>114</v>
      </c>
      <c r="D31" s="11" t="s">
        <v>13</v>
      </c>
      <c r="E31" s="12" t="s">
        <v>111</v>
      </c>
      <c r="F31" s="13" t="s">
        <v>112</v>
      </c>
      <c r="G31" s="14" t="s">
        <v>10</v>
      </c>
      <c r="H31" s="15" t="s">
        <v>16</v>
      </c>
      <c r="I31" s="7" t="s">
        <v>113</v>
      </c>
    </row>
    <row r="32" spans="1:9" ht="15.75" customHeight="1" x14ac:dyDescent="0.2">
      <c r="A32" s="8" t="s">
        <v>10</v>
      </c>
      <c r="B32" s="16" t="s">
        <v>115</v>
      </c>
      <c r="C32" s="17" t="s">
        <v>116</v>
      </c>
      <c r="D32" s="11" t="s">
        <v>13</v>
      </c>
      <c r="E32" s="18" t="s">
        <v>111</v>
      </c>
      <c r="F32" s="19" t="s">
        <v>112</v>
      </c>
      <c r="G32" s="20" t="s">
        <v>10</v>
      </c>
      <c r="H32" s="21" t="s">
        <v>117</v>
      </c>
      <c r="I32" s="7" t="s">
        <v>115</v>
      </c>
    </row>
    <row r="33" spans="1:9" ht="15.75" customHeight="1" x14ac:dyDescent="0.2">
      <c r="A33" s="8" t="s">
        <v>10</v>
      </c>
      <c r="B33" s="9" t="s">
        <v>118</v>
      </c>
      <c r="C33" s="10" t="s">
        <v>119</v>
      </c>
      <c r="D33" s="23" t="s">
        <v>120</v>
      </c>
      <c r="E33" s="12" t="s">
        <v>111</v>
      </c>
      <c r="F33" s="13" t="s">
        <v>112</v>
      </c>
      <c r="G33" s="14" t="s">
        <v>10</v>
      </c>
      <c r="H33" s="24" t="s">
        <v>121</v>
      </c>
      <c r="I33" s="7" t="s">
        <v>118</v>
      </c>
    </row>
    <row r="34" spans="1:9" ht="15.75" customHeight="1" x14ac:dyDescent="0.2">
      <c r="A34" s="8" t="s">
        <v>10</v>
      </c>
      <c r="B34" s="16" t="s">
        <v>122</v>
      </c>
      <c r="C34" s="17" t="s">
        <v>112</v>
      </c>
      <c r="D34" s="11" t="s">
        <v>13</v>
      </c>
      <c r="E34" s="18" t="s">
        <v>111</v>
      </c>
      <c r="F34" s="19" t="s">
        <v>112</v>
      </c>
      <c r="G34" s="20" t="s">
        <v>10</v>
      </c>
      <c r="H34" s="21" t="s">
        <v>16</v>
      </c>
      <c r="I34" s="7" t="s">
        <v>122</v>
      </c>
    </row>
    <row r="35" spans="1:9" ht="15.75" customHeight="1" x14ac:dyDescent="0.2">
      <c r="A35" s="8" t="s">
        <v>10</v>
      </c>
      <c r="B35" s="9" t="s">
        <v>123</v>
      </c>
      <c r="C35" s="10" t="s">
        <v>124</v>
      </c>
      <c r="D35" s="11" t="s">
        <v>13</v>
      </c>
      <c r="E35" s="12" t="s">
        <v>125</v>
      </c>
      <c r="F35" s="13" t="s">
        <v>126</v>
      </c>
      <c r="G35" s="14" t="s">
        <v>10</v>
      </c>
      <c r="H35" s="15" t="s">
        <v>127</v>
      </c>
      <c r="I35" s="7" t="s">
        <v>123</v>
      </c>
    </row>
    <row r="36" spans="1:9" ht="15.75" customHeight="1" x14ac:dyDescent="0.2">
      <c r="A36" s="8" t="s">
        <v>10</v>
      </c>
      <c r="B36" s="16" t="s">
        <v>128</v>
      </c>
      <c r="C36" s="17" t="s">
        <v>129</v>
      </c>
      <c r="D36" s="11" t="s">
        <v>13</v>
      </c>
      <c r="E36" s="18" t="s">
        <v>130</v>
      </c>
      <c r="F36" s="19" t="s">
        <v>129</v>
      </c>
      <c r="G36" s="20" t="s">
        <v>10</v>
      </c>
      <c r="H36" s="21" t="s">
        <v>16</v>
      </c>
      <c r="I36" s="7" t="s">
        <v>128</v>
      </c>
    </row>
    <row r="37" spans="1:9" ht="15.75" customHeight="1" x14ac:dyDescent="0.2">
      <c r="A37" s="8" t="s">
        <v>10</v>
      </c>
      <c r="B37" s="9" t="s">
        <v>131</v>
      </c>
      <c r="C37" s="10" t="s">
        <v>132</v>
      </c>
      <c r="D37" s="11" t="s">
        <v>13</v>
      </c>
      <c r="E37" s="12" t="s">
        <v>133</v>
      </c>
      <c r="F37" s="13" t="s">
        <v>134</v>
      </c>
      <c r="G37" s="14" t="s">
        <v>10</v>
      </c>
      <c r="H37" s="15" t="s">
        <v>135</v>
      </c>
      <c r="I37" s="7" t="s">
        <v>131</v>
      </c>
    </row>
    <row r="38" spans="1:9" ht="15.75" customHeight="1" x14ac:dyDescent="0.2">
      <c r="A38" s="8" t="s">
        <v>10</v>
      </c>
      <c r="B38" s="16" t="s">
        <v>136</v>
      </c>
      <c r="C38" s="17" t="s">
        <v>137</v>
      </c>
      <c r="D38" s="11" t="s">
        <v>13</v>
      </c>
      <c r="E38" s="18" t="s">
        <v>138</v>
      </c>
      <c r="F38" s="19" t="s">
        <v>139</v>
      </c>
      <c r="G38" s="20" t="s">
        <v>10</v>
      </c>
      <c r="H38" s="21" t="s">
        <v>140</v>
      </c>
      <c r="I38" s="7" t="s">
        <v>136</v>
      </c>
    </row>
    <row r="39" spans="1:9" ht="15.75" customHeight="1" x14ac:dyDescent="0.2">
      <c r="A39" s="8" t="s">
        <v>10</v>
      </c>
      <c r="B39" s="9" t="s">
        <v>141</v>
      </c>
      <c r="C39" s="10" t="s">
        <v>142</v>
      </c>
      <c r="D39" s="23" t="s">
        <v>120</v>
      </c>
      <c r="E39" s="12" t="s">
        <v>143</v>
      </c>
      <c r="F39" s="13" t="s">
        <v>144</v>
      </c>
      <c r="G39" s="14" t="s">
        <v>10</v>
      </c>
      <c r="H39" s="24" t="s">
        <v>145</v>
      </c>
      <c r="I39" s="7" t="s">
        <v>141</v>
      </c>
    </row>
    <row r="40" spans="1:9" ht="15.75" customHeight="1" x14ac:dyDescent="0.2">
      <c r="A40" s="8" t="s">
        <v>10</v>
      </c>
      <c r="B40" s="16" t="s">
        <v>146</v>
      </c>
      <c r="C40" s="17" t="s">
        <v>147</v>
      </c>
      <c r="D40" s="11" t="s">
        <v>13</v>
      </c>
      <c r="E40" s="18" t="s">
        <v>148</v>
      </c>
      <c r="F40" s="19" t="s">
        <v>149</v>
      </c>
      <c r="G40" s="20" t="s">
        <v>10</v>
      </c>
      <c r="H40" s="21" t="s">
        <v>150</v>
      </c>
      <c r="I40" s="7" t="s">
        <v>146</v>
      </c>
    </row>
    <row r="41" spans="1:9" ht="15.75" customHeight="1" x14ac:dyDescent="0.2">
      <c r="A41" s="8" t="s">
        <v>10</v>
      </c>
      <c r="B41" s="9" t="s">
        <v>151</v>
      </c>
      <c r="C41" s="10" t="s">
        <v>152</v>
      </c>
      <c r="D41" s="23" t="s">
        <v>120</v>
      </c>
      <c r="E41" s="12" t="s">
        <v>153</v>
      </c>
      <c r="F41" s="13" t="s">
        <v>154</v>
      </c>
      <c r="G41" s="14" t="s">
        <v>155</v>
      </c>
      <c r="H41" s="24" t="s">
        <v>156</v>
      </c>
      <c r="I41" s="7" t="s">
        <v>151</v>
      </c>
    </row>
    <row r="42" spans="1:9" ht="15.75" customHeight="1" x14ac:dyDescent="0.2">
      <c r="A42" s="8" t="s">
        <v>10</v>
      </c>
      <c r="B42" s="16" t="s">
        <v>157</v>
      </c>
      <c r="C42" s="17" t="s">
        <v>158</v>
      </c>
      <c r="D42" s="11" t="s">
        <v>13</v>
      </c>
      <c r="E42" s="18" t="s">
        <v>159</v>
      </c>
      <c r="F42" s="19" t="s">
        <v>158</v>
      </c>
      <c r="G42" s="20" t="s">
        <v>10</v>
      </c>
      <c r="H42" s="21" t="s">
        <v>16</v>
      </c>
      <c r="I42" s="7" t="s">
        <v>157</v>
      </c>
    </row>
    <row r="43" spans="1:9" ht="15.75" customHeight="1" x14ac:dyDescent="0.2">
      <c r="A43" s="8" t="s">
        <v>10</v>
      </c>
      <c r="B43" s="9" t="s">
        <v>160</v>
      </c>
      <c r="C43" s="10" t="s">
        <v>161</v>
      </c>
      <c r="D43" s="11" t="s">
        <v>13</v>
      </c>
      <c r="E43" s="12" t="s">
        <v>162</v>
      </c>
      <c r="F43" s="13" t="s">
        <v>163</v>
      </c>
      <c r="G43" s="14" t="s">
        <v>10</v>
      </c>
      <c r="H43" s="15" t="s">
        <v>21</v>
      </c>
      <c r="I43" s="7" t="s">
        <v>160</v>
      </c>
    </row>
    <row r="44" spans="1:9" ht="15.75" customHeight="1" x14ac:dyDescent="0.2">
      <c r="A44" s="8" t="s">
        <v>10</v>
      </c>
      <c r="B44" s="16" t="s">
        <v>164</v>
      </c>
      <c r="C44" s="17" t="s">
        <v>165</v>
      </c>
      <c r="D44" s="11" t="s">
        <v>13</v>
      </c>
      <c r="E44" s="18" t="s">
        <v>164</v>
      </c>
      <c r="F44" s="19" t="s">
        <v>165</v>
      </c>
      <c r="G44" s="20" t="s">
        <v>10</v>
      </c>
      <c r="H44" s="21" t="s">
        <v>16</v>
      </c>
      <c r="I44" s="7" t="s">
        <v>164</v>
      </c>
    </row>
    <row r="45" spans="1:9" ht="15.75" customHeight="1" x14ac:dyDescent="0.2">
      <c r="A45" s="8" t="s">
        <v>10</v>
      </c>
      <c r="B45" s="9" t="s">
        <v>166</v>
      </c>
      <c r="C45" s="10" t="s">
        <v>167</v>
      </c>
      <c r="D45" s="11" t="s">
        <v>13</v>
      </c>
      <c r="E45" s="12" t="s">
        <v>166</v>
      </c>
      <c r="F45" s="13" t="s">
        <v>167</v>
      </c>
      <c r="G45" s="14" t="s">
        <v>10</v>
      </c>
      <c r="H45" s="15" t="s">
        <v>16</v>
      </c>
      <c r="I45" s="7" t="s">
        <v>166</v>
      </c>
    </row>
    <row r="46" spans="1:9" ht="15.75" customHeight="1" x14ac:dyDescent="0.2">
      <c r="A46" s="8" t="s">
        <v>10</v>
      </c>
      <c r="B46" s="16" t="s">
        <v>168</v>
      </c>
      <c r="C46" s="17" t="s">
        <v>169</v>
      </c>
      <c r="D46" s="23" t="s">
        <v>120</v>
      </c>
      <c r="E46" s="18" t="s">
        <v>170</v>
      </c>
      <c r="F46" s="19" t="s">
        <v>171</v>
      </c>
      <c r="G46" s="20" t="s">
        <v>10</v>
      </c>
      <c r="H46" s="21" t="s">
        <v>172</v>
      </c>
      <c r="I46" s="7" t="s">
        <v>168</v>
      </c>
    </row>
    <row r="47" spans="1:9" ht="15.75" customHeight="1" x14ac:dyDescent="0.2">
      <c r="A47" s="8" t="s">
        <v>10</v>
      </c>
      <c r="B47" s="9" t="s">
        <v>173</v>
      </c>
      <c r="C47" s="10" t="s">
        <v>174</v>
      </c>
      <c r="D47" s="11" t="s">
        <v>13</v>
      </c>
      <c r="E47" s="12" t="s">
        <v>175</v>
      </c>
      <c r="F47" s="13" t="s">
        <v>176</v>
      </c>
      <c r="G47" s="14" t="s">
        <v>10</v>
      </c>
      <c r="H47" s="15" t="s">
        <v>21</v>
      </c>
      <c r="I47" s="7" t="s">
        <v>173</v>
      </c>
    </row>
    <row r="48" spans="1:9" ht="15.75" customHeight="1" x14ac:dyDescent="0.2">
      <c r="A48" s="8" t="s">
        <v>10</v>
      </c>
      <c r="B48" s="16" t="s">
        <v>177</v>
      </c>
      <c r="C48" s="17" t="s">
        <v>178</v>
      </c>
      <c r="D48" s="11" t="s">
        <v>13</v>
      </c>
      <c r="E48" s="18" t="s">
        <v>173</v>
      </c>
      <c r="F48" s="19" t="s">
        <v>179</v>
      </c>
      <c r="G48" s="20" t="s">
        <v>10</v>
      </c>
      <c r="H48" s="21" t="s">
        <v>16</v>
      </c>
      <c r="I48" s="7" t="s">
        <v>177</v>
      </c>
    </row>
    <row r="49" spans="1:9" ht="15.75" customHeight="1" x14ac:dyDescent="0.2">
      <c r="A49" s="8" t="s">
        <v>10</v>
      </c>
      <c r="B49" s="9" t="s">
        <v>175</v>
      </c>
      <c r="C49" s="10" t="s">
        <v>180</v>
      </c>
      <c r="D49" s="11" t="s">
        <v>13</v>
      </c>
      <c r="E49" s="12" t="s">
        <v>177</v>
      </c>
      <c r="F49" s="13" t="s">
        <v>180</v>
      </c>
      <c r="G49" s="14" t="s">
        <v>10</v>
      </c>
      <c r="H49" s="15" t="s">
        <v>16</v>
      </c>
      <c r="I49" s="7" t="s">
        <v>175</v>
      </c>
    </row>
    <row r="50" spans="1:9" ht="15.75" customHeight="1" x14ac:dyDescent="0.2">
      <c r="A50" s="8" t="s">
        <v>10</v>
      </c>
      <c r="B50" s="16" t="s">
        <v>170</v>
      </c>
      <c r="C50" s="17" t="s">
        <v>171</v>
      </c>
      <c r="D50" s="11" t="s">
        <v>13</v>
      </c>
      <c r="E50" s="18" t="s">
        <v>170</v>
      </c>
      <c r="F50" s="19" t="s">
        <v>171</v>
      </c>
      <c r="G50" s="20" t="s">
        <v>10</v>
      </c>
      <c r="H50" s="21" t="s">
        <v>16</v>
      </c>
      <c r="I50" s="7" t="s">
        <v>170</v>
      </c>
    </row>
    <row r="51" spans="1:9" ht="15.75" customHeight="1" x14ac:dyDescent="0.2">
      <c r="A51" s="8" t="s">
        <v>10</v>
      </c>
      <c r="B51" s="9" t="s">
        <v>181</v>
      </c>
      <c r="C51" s="10" t="s">
        <v>182</v>
      </c>
      <c r="D51" s="11" t="s">
        <v>13</v>
      </c>
      <c r="E51" s="12" t="s">
        <v>183</v>
      </c>
      <c r="F51" s="13" t="s">
        <v>182</v>
      </c>
      <c r="G51" s="14" t="s">
        <v>10</v>
      </c>
      <c r="H51" s="15" t="s">
        <v>16</v>
      </c>
      <c r="I51" s="7" t="s">
        <v>181</v>
      </c>
    </row>
    <row r="52" spans="1:9" ht="15.75" customHeight="1" x14ac:dyDescent="0.2">
      <c r="A52" s="8" t="s">
        <v>10</v>
      </c>
      <c r="B52" s="16" t="s">
        <v>184</v>
      </c>
      <c r="C52" s="17" t="s">
        <v>185</v>
      </c>
      <c r="D52" s="23" t="s">
        <v>120</v>
      </c>
      <c r="E52" s="18" t="s">
        <v>186</v>
      </c>
      <c r="F52" s="19" t="s">
        <v>187</v>
      </c>
      <c r="G52" s="20" t="s">
        <v>10</v>
      </c>
      <c r="H52" s="24" t="s">
        <v>188</v>
      </c>
      <c r="I52" s="7" t="s">
        <v>184</v>
      </c>
    </row>
    <row r="53" spans="1:9" ht="15.75" customHeight="1" x14ac:dyDescent="0.2">
      <c r="A53" s="8" t="s">
        <v>10</v>
      </c>
      <c r="B53" s="9" t="s">
        <v>189</v>
      </c>
      <c r="C53" s="10" t="s">
        <v>190</v>
      </c>
      <c r="D53" s="23" t="s">
        <v>120</v>
      </c>
      <c r="E53" s="12" t="s">
        <v>191</v>
      </c>
      <c r="F53" s="13" t="s">
        <v>192</v>
      </c>
      <c r="G53" s="14" t="s">
        <v>10</v>
      </c>
      <c r="H53" s="24" t="s">
        <v>193</v>
      </c>
      <c r="I53" s="7" t="s">
        <v>189</v>
      </c>
    </row>
    <row r="54" spans="1:9" ht="15.75" customHeight="1" x14ac:dyDescent="0.2">
      <c r="A54" s="8" t="s">
        <v>10</v>
      </c>
      <c r="B54" s="16" t="s">
        <v>194</v>
      </c>
      <c r="C54" s="17" t="s">
        <v>195</v>
      </c>
      <c r="D54" s="11" t="s">
        <v>13</v>
      </c>
      <c r="E54" s="18" t="s">
        <v>196</v>
      </c>
      <c r="F54" s="19" t="s">
        <v>195</v>
      </c>
      <c r="G54" s="20" t="s">
        <v>10</v>
      </c>
      <c r="H54" s="21" t="s">
        <v>16</v>
      </c>
      <c r="I54" s="7" t="s">
        <v>194</v>
      </c>
    </row>
    <row r="55" spans="1:9" ht="15.75" customHeight="1" x14ac:dyDescent="0.2">
      <c r="A55" s="8" t="s">
        <v>10</v>
      </c>
      <c r="B55" s="9" t="s">
        <v>197</v>
      </c>
      <c r="C55" s="10" t="s">
        <v>198</v>
      </c>
      <c r="D55" s="23" t="s">
        <v>120</v>
      </c>
      <c r="E55" s="12" t="s">
        <v>199</v>
      </c>
      <c r="F55" s="13" t="s">
        <v>200</v>
      </c>
      <c r="G55" s="14" t="s">
        <v>10</v>
      </c>
      <c r="H55" s="24" t="s">
        <v>201</v>
      </c>
      <c r="I55" s="7" t="s">
        <v>197</v>
      </c>
    </row>
    <row r="56" spans="1:9" ht="15.75" customHeight="1" x14ac:dyDescent="0.2">
      <c r="A56" s="8" t="s">
        <v>10</v>
      </c>
      <c r="B56" s="16" t="s">
        <v>202</v>
      </c>
      <c r="C56" s="17" t="s">
        <v>200</v>
      </c>
      <c r="D56" s="23" t="s">
        <v>120</v>
      </c>
      <c r="E56" s="18" t="s">
        <v>199</v>
      </c>
      <c r="F56" s="19" t="s">
        <v>200</v>
      </c>
      <c r="G56" s="20" t="s">
        <v>10</v>
      </c>
      <c r="H56" s="24" t="s">
        <v>201</v>
      </c>
      <c r="I56" s="7" t="s">
        <v>202</v>
      </c>
    </row>
    <row r="57" spans="1:9" ht="15.75" customHeight="1" x14ac:dyDescent="0.2">
      <c r="A57" s="8" t="s">
        <v>10</v>
      </c>
      <c r="B57" s="9" t="s">
        <v>203</v>
      </c>
      <c r="C57" s="10" t="s">
        <v>204</v>
      </c>
      <c r="D57" s="23" t="s">
        <v>120</v>
      </c>
      <c r="E57" s="12" t="s">
        <v>205</v>
      </c>
      <c r="F57" s="13" t="s">
        <v>206</v>
      </c>
      <c r="G57" s="14" t="s">
        <v>155</v>
      </c>
      <c r="H57" s="24" t="s">
        <v>207</v>
      </c>
      <c r="I57" s="7" t="s">
        <v>203</v>
      </c>
    </row>
    <row r="58" spans="1:9" ht="15.75" customHeight="1" x14ac:dyDescent="0.2">
      <c r="A58" s="8" t="s">
        <v>10</v>
      </c>
      <c r="B58" s="16" t="s">
        <v>208</v>
      </c>
      <c r="C58" s="17" t="s">
        <v>209</v>
      </c>
      <c r="D58" s="23" t="s">
        <v>120</v>
      </c>
      <c r="E58" s="18" t="s">
        <v>210</v>
      </c>
      <c r="F58" s="19" t="s">
        <v>211</v>
      </c>
      <c r="G58" s="20" t="s">
        <v>155</v>
      </c>
      <c r="H58" s="24" t="s">
        <v>207</v>
      </c>
      <c r="I58" s="7" t="s">
        <v>208</v>
      </c>
    </row>
    <row r="59" spans="1:9" ht="21.75" customHeight="1" x14ac:dyDescent="0.2">
      <c r="A59" s="179" t="s">
        <v>212</v>
      </c>
      <c r="B59" s="179"/>
      <c r="C59" s="179"/>
      <c r="D59" s="179"/>
      <c r="E59" s="179"/>
      <c r="F59" s="179"/>
      <c r="G59" s="179"/>
      <c r="H59" s="179"/>
      <c r="I59" s="7"/>
    </row>
    <row r="60" spans="1:9" ht="15.75" customHeight="1" x14ac:dyDescent="0.2">
      <c r="A60" s="25" t="s">
        <v>213</v>
      </c>
      <c r="B60" s="26" t="s">
        <v>214</v>
      </c>
      <c r="C60" s="27" t="s">
        <v>215</v>
      </c>
      <c r="D60" s="23" t="s">
        <v>120</v>
      </c>
      <c r="E60" s="28" t="s">
        <v>216</v>
      </c>
      <c r="F60" s="29" t="s">
        <v>215</v>
      </c>
      <c r="G60" s="30" t="s">
        <v>213</v>
      </c>
      <c r="H60" s="24" t="s">
        <v>217</v>
      </c>
      <c r="I60" s="7" t="s">
        <v>214</v>
      </c>
    </row>
    <row r="61" spans="1:9" ht="15.75" customHeight="1" x14ac:dyDescent="0.2">
      <c r="A61" s="25" t="s">
        <v>213</v>
      </c>
      <c r="B61" s="31" t="s">
        <v>218</v>
      </c>
      <c r="C61" s="32" t="s">
        <v>219</v>
      </c>
      <c r="D61" s="23" t="s">
        <v>120</v>
      </c>
      <c r="E61" s="33" t="s">
        <v>220</v>
      </c>
      <c r="F61" s="34" t="s">
        <v>221</v>
      </c>
      <c r="G61" s="35" t="s">
        <v>213</v>
      </c>
      <c r="H61" s="36" t="s">
        <v>222</v>
      </c>
      <c r="I61" s="7" t="s">
        <v>218</v>
      </c>
    </row>
    <row r="62" spans="1:9" ht="15.75" customHeight="1" x14ac:dyDescent="0.2">
      <c r="A62" s="25" t="s">
        <v>213</v>
      </c>
      <c r="B62" s="26" t="s">
        <v>223</v>
      </c>
      <c r="C62" s="27" t="s">
        <v>224</v>
      </c>
      <c r="D62" s="11" t="s">
        <v>13</v>
      </c>
      <c r="E62" s="28" t="s">
        <v>225</v>
      </c>
      <c r="F62" s="29" t="s">
        <v>226</v>
      </c>
      <c r="G62" s="30" t="s">
        <v>213</v>
      </c>
      <c r="H62" s="37" t="s">
        <v>16</v>
      </c>
      <c r="I62" s="7" t="s">
        <v>223</v>
      </c>
    </row>
    <row r="63" spans="1:9" ht="15.75" customHeight="1" x14ac:dyDescent="0.2">
      <c r="A63" s="25" t="s">
        <v>213</v>
      </c>
      <c r="B63" s="31" t="s">
        <v>227</v>
      </c>
      <c r="C63" s="32" t="s">
        <v>228</v>
      </c>
      <c r="D63" s="11" t="s">
        <v>13</v>
      </c>
      <c r="E63" s="33" t="s">
        <v>225</v>
      </c>
      <c r="F63" s="34" t="s">
        <v>226</v>
      </c>
      <c r="G63" s="35" t="s">
        <v>213</v>
      </c>
      <c r="H63" s="36" t="s">
        <v>16</v>
      </c>
      <c r="I63" s="7" t="s">
        <v>227</v>
      </c>
    </row>
    <row r="64" spans="1:9" ht="15.75" customHeight="1" x14ac:dyDescent="0.2">
      <c r="A64" s="25" t="s">
        <v>213</v>
      </c>
      <c r="B64" s="26" t="s">
        <v>229</v>
      </c>
      <c r="C64" s="27" t="s">
        <v>230</v>
      </c>
      <c r="D64" s="11" t="s">
        <v>13</v>
      </c>
      <c r="E64" s="28" t="s">
        <v>231</v>
      </c>
      <c r="F64" s="29" t="s">
        <v>230</v>
      </c>
      <c r="G64" s="30" t="s">
        <v>213</v>
      </c>
      <c r="H64" s="37" t="s">
        <v>16</v>
      </c>
      <c r="I64" s="7" t="s">
        <v>229</v>
      </c>
    </row>
    <row r="65" spans="1:9" ht="15.75" customHeight="1" x14ac:dyDescent="0.2">
      <c r="A65" s="25" t="s">
        <v>213</v>
      </c>
      <c r="B65" s="31" t="s">
        <v>232</v>
      </c>
      <c r="C65" s="32" t="s">
        <v>233</v>
      </c>
      <c r="D65" s="11" t="s">
        <v>13</v>
      </c>
      <c r="E65" s="33" t="s">
        <v>234</v>
      </c>
      <c r="F65" s="34" t="s">
        <v>233</v>
      </c>
      <c r="G65" s="35" t="s">
        <v>213</v>
      </c>
      <c r="H65" s="36" t="s">
        <v>16</v>
      </c>
      <c r="I65" s="7" t="s">
        <v>232</v>
      </c>
    </row>
    <row r="66" spans="1:9" ht="15.75" customHeight="1" x14ac:dyDescent="0.2">
      <c r="A66" s="25" t="s">
        <v>213</v>
      </c>
      <c r="B66" s="26" t="s">
        <v>235</v>
      </c>
      <c r="C66" s="27" t="s">
        <v>236</v>
      </c>
      <c r="D66" s="22" t="s">
        <v>24</v>
      </c>
      <c r="E66" s="28" t="s">
        <v>220</v>
      </c>
      <c r="F66" s="29" t="s">
        <v>221</v>
      </c>
      <c r="G66" s="30" t="s">
        <v>213</v>
      </c>
      <c r="H66" s="37" t="s">
        <v>237</v>
      </c>
      <c r="I66" s="7" t="s">
        <v>235</v>
      </c>
    </row>
    <row r="67" spans="1:9" ht="15.75" customHeight="1" x14ac:dyDescent="0.2">
      <c r="A67" s="25" t="s">
        <v>213</v>
      </c>
      <c r="B67" s="31" t="s">
        <v>238</v>
      </c>
      <c r="C67" s="32" t="s">
        <v>239</v>
      </c>
      <c r="D67" s="23" t="s">
        <v>120</v>
      </c>
      <c r="E67" s="33" t="s">
        <v>240</v>
      </c>
      <c r="F67" s="34" t="s">
        <v>241</v>
      </c>
      <c r="G67" s="35" t="s">
        <v>155</v>
      </c>
      <c r="H67" s="24" t="s">
        <v>242</v>
      </c>
      <c r="I67" s="7" t="s">
        <v>238</v>
      </c>
    </row>
    <row r="68" spans="1:9" ht="15.75" customHeight="1" x14ac:dyDescent="0.2">
      <c r="A68" s="25" t="s">
        <v>213</v>
      </c>
      <c r="B68" s="26" t="s">
        <v>243</v>
      </c>
      <c r="C68" s="27" t="s">
        <v>244</v>
      </c>
      <c r="D68" s="23" t="s">
        <v>120</v>
      </c>
      <c r="E68" s="28" t="s">
        <v>245</v>
      </c>
      <c r="F68" s="29" t="s">
        <v>246</v>
      </c>
      <c r="G68" s="30" t="s">
        <v>213</v>
      </c>
      <c r="H68" s="24" t="s">
        <v>247</v>
      </c>
      <c r="I68" s="7" t="s">
        <v>243</v>
      </c>
    </row>
    <row r="69" spans="1:9" ht="15.75" customHeight="1" x14ac:dyDescent="0.2">
      <c r="A69" s="25" t="s">
        <v>213</v>
      </c>
      <c r="B69" s="31" t="s">
        <v>248</v>
      </c>
      <c r="C69" s="32" t="s">
        <v>249</v>
      </c>
      <c r="D69" s="11" t="s">
        <v>13</v>
      </c>
      <c r="E69" s="33" t="s">
        <v>250</v>
      </c>
      <c r="F69" s="34" t="s">
        <v>249</v>
      </c>
      <c r="G69" s="35" t="s">
        <v>155</v>
      </c>
      <c r="H69" s="36" t="s">
        <v>251</v>
      </c>
      <c r="I69" s="7" t="s">
        <v>248</v>
      </c>
    </row>
    <row r="70" spans="1:9" ht="15.75" customHeight="1" x14ac:dyDescent="0.2">
      <c r="A70" s="25" t="s">
        <v>213</v>
      </c>
      <c r="B70" s="26" t="s">
        <v>252</v>
      </c>
      <c r="C70" s="27" t="s">
        <v>253</v>
      </c>
      <c r="D70" s="23" t="s">
        <v>120</v>
      </c>
      <c r="E70" s="28" t="s">
        <v>254</v>
      </c>
      <c r="F70" s="29" t="s">
        <v>255</v>
      </c>
      <c r="G70" s="30" t="s">
        <v>10</v>
      </c>
      <c r="H70" s="24" t="s">
        <v>256</v>
      </c>
      <c r="I70" s="7" t="s">
        <v>252</v>
      </c>
    </row>
    <row r="71" spans="1:9" ht="15.75" customHeight="1" x14ac:dyDescent="0.2">
      <c r="A71" s="25" t="s">
        <v>213</v>
      </c>
      <c r="B71" s="31" t="s">
        <v>257</v>
      </c>
      <c r="C71" s="32" t="s">
        <v>258</v>
      </c>
      <c r="D71" s="11" t="s">
        <v>13</v>
      </c>
      <c r="E71" s="33" t="s">
        <v>259</v>
      </c>
      <c r="F71" s="34" t="s">
        <v>260</v>
      </c>
      <c r="G71" s="35" t="s">
        <v>213</v>
      </c>
      <c r="H71" s="24" t="s">
        <v>261</v>
      </c>
      <c r="I71" s="7" t="s">
        <v>257</v>
      </c>
    </row>
    <row r="72" spans="1:9" ht="15.75" customHeight="1" x14ac:dyDescent="0.2">
      <c r="A72" s="25" t="s">
        <v>213</v>
      </c>
      <c r="B72" s="26" t="s">
        <v>262</v>
      </c>
      <c r="C72" s="27" t="s">
        <v>263</v>
      </c>
      <c r="D72" s="11" t="s">
        <v>13</v>
      </c>
      <c r="E72" s="28" t="s">
        <v>264</v>
      </c>
      <c r="F72" s="29" t="s">
        <v>265</v>
      </c>
      <c r="G72" s="30" t="s">
        <v>213</v>
      </c>
      <c r="H72" s="37" t="s">
        <v>16</v>
      </c>
      <c r="I72" s="7" t="s">
        <v>262</v>
      </c>
    </row>
    <row r="73" spans="1:9" ht="15.75" customHeight="1" x14ac:dyDescent="0.2">
      <c r="A73" s="25" t="s">
        <v>213</v>
      </c>
      <c r="B73" s="31" t="s">
        <v>266</v>
      </c>
      <c r="C73" s="32" t="s">
        <v>267</v>
      </c>
      <c r="D73" s="23" t="s">
        <v>120</v>
      </c>
      <c r="E73" s="33" t="s">
        <v>268</v>
      </c>
      <c r="F73" s="34" t="s">
        <v>267</v>
      </c>
      <c r="G73" s="35" t="s">
        <v>213</v>
      </c>
      <c r="H73" s="24" t="s">
        <v>269</v>
      </c>
      <c r="I73" s="7" t="s">
        <v>266</v>
      </c>
    </row>
    <row r="74" spans="1:9" ht="15.75" customHeight="1" x14ac:dyDescent="0.2">
      <c r="A74" s="25" t="s">
        <v>213</v>
      </c>
      <c r="B74" s="26" t="s">
        <v>270</v>
      </c>
      <c r="C74" s="27" t="s">
        <v>271</v>
      </c>
      <c r="D74" s="11" t="s">
        <v>13</v>
      </c>
      <c r="E74" s="28" t="s">
        <v>272</v>
      </c>
      <c r="F74" s="29" t="s">
        <v>271</v>
      </c>
      <c r="G74" s="30" t="s">
        <v>213</v>
      </c>
      <c r="H74" s="37" t="s">
        <v>16</v>
      </c>
      <c r="I74" s="7" t="s">
        <v>270</v>
      </c>
    </row>
    <row r="75" spans="1:9" ht="15.75" customHeight="1" x14ac:dyDescent="0.2">
      <c r="A75" s="25" t="s">
        <v>213</v>
      </c>
      <c r="B75" s="31" t="s">
        <v>273</v>
      </c>
      <c r="C75" s="32" t="s">
        <v>274</v>
      </c>
      <c r="D75" s="11" t="s">
        <v>13</v>
      </c>
      <c r="E75" s="33" t="s">
        <v>214</v>
      </c>
      <c r="F75" s="34" t="s">
        <v>274</v>
      </c>
      <c r="G75" s="35" t="s">
        <v>213</v>
      </c>
      <c r="H75" s="36" t="s">
        <v>16</v>
      </c>
      <c r="I75" s="7" t="s">
        <v>273</v>
      </c>
    </row>
    <row r="76" spans="1:9" ht="15.75" customHeight="1" x14ac:dyDescent="0.2">
      <c r="A76" s="25" t="s">
        <v>213</v>
      </c>
      <c r="B76" s="26" t="s">
        <v>275</v>
      </c>
      <c r="C76" s="27" t="s">
        <v>276</v>
      </c>
      <c r="D76" s="11" t="s">
        <v>13</v>
      </c>
      <c r="E76" s="28" t="s">
        <v>218</v>
      </c>
      <c r="F76" s="29" t="s">
        <v>276</v>
      </c>
      <c r="G76" s="30" t="s">
        <v>213</v>
      </c>
      <c r="H76" s="37" t="s">
        <v>16</v>
      </c>
      <c r="I76" s="7" t="s">
        <v>275</v>
      </c>
    </row>
    <row r="77" spans="1:9" ht="15.75" customHeight="1" x14ac:dyDescent="0.2">
      <c r="A77" s="25" t="s">
        <v>213</v>
      </c>
      <c r="B77" s="31" t="s">
        <v>277</v>
      </c>
      <c r="C77" s="32" t="s">
        <v>278</v>
      </c>
      <c r="D77" s="11" t="s">
        <v>13</v>
      </c>
      <c r="E77" s="33" t="s">
        <v>279</v>
      </c>
      <c r="F77" s="34" t="s">
        <v>278</v>
      </c>
      <c r="G77" s="35" t="s">
        <v>213</v>
      </c>
      <c r="H77" s="36" t="s">
        <v>16</v>
      </c>
      <c r="I77" s="7" t="s">
        <v>277</v>
      </c>
    </row>
    <row r="78" spans="1:9" ht="15.75" customHeight="1" x14ac:dyDescent="0.2">
      <c r="A78" s="25" t="s">
        <v>213</v>
      </c>
      <c r="B78" s="26" t="s">
        <v>280</v>
      </c>
      <c r="C78" s="27" t="s">
        <v>281</v>
      </c>
      <c r="D78" s="11" t="s">
        <v>13</v>
      </c>
      <c r="E78" s="28" t="s">
        <v>227</v>
      </c>
      <c r="F78" s="29" t="s">
        <v>282</v>
      </c>
      <c r="G78" s="30" t="s">
        <v>213</v>
      </c>
      <c r="H78" s="37" t="s">
        <v>21</v>
      </c>
      <c r="I78" s="7" t="s">
        <v>280</v>
      </c>
    </row>
    <row r="79" spans="1:9" ht="15.75" customHeight="1" x14ac:dyDescent="0.2">
      <c r="A79" s="25" t="s">
        <v>213</v>
      </c>
      <c r="B79" s="31" t="s">
        <v>283</v>
      </c>
      <c r="C79" s="32" t="s">
        <v>284</v>
      </c>
      <c r="D79" s="11" t="s">
        <v>13</v>
      </c>
      <c r="E79" s="33" t="s">
        <v>238</v>
      </c>
      <c r="F79" s="34" t="s">
        <v>284</v>
      </c>
      <c r="G79" s="35" t="s">
        <v>213</v>
      </c>
      <c r="H79" s="36" t="s">
        <v>16</v>
      </c>
      <c r="I79" s="7" t="s">
        <v>283</v>
      </c>
    </row>
    <row r="80" spans="1:9" ht="15.75" customHeight="1" x14ac:dyDescent="0.2">
      <c r="A80" s="25" t="s">
        <v>213</v>
      </c>
      <c r="B80" s="26" t="s">
        <v>285</v>
      </c>
      <c r="C80" s="27" t="s">
        <v>286</v>
      </c>
      <c r="D80" s="23" t="s">
        <v>120</v>
      </c>
      <c r="E80" s="28" t="s">
        <v>287</v>
      </c>
      <c r="F80" s="29" t="s">
        <v>286</v>
      </c>
      <c r="G80" s="30" t="s">
        <v>213</v>
      </c>
      <c r="H80" s="24" t="s">
        <v>288</v>
      </c>
      <c r="I80" s="7" t="s">
        <v>285</v>
      </c>
    </row>
    <row r="81" spans="1:9" ht="15.75" customHeight="1" x14ac:dyDescent="0.2">
      <c r="A81" s="25" t="s">
        <v>213</v>
      </c>
      <c r="B81" s="31" t="s">
        <v>289</v>
      </c>
      <c r="C81" s="32" t="s">
        <v>290</v>
      </c>
      <c r="D81" s="11" t="s">
        <v>13</v>
      </c>
      <c r="E81" s="33" t="s">
        <v>291</v>
      </c>
      <c r="F81" s="34" t="s">
        <v>292</v>
      </c>
      <c r="G81" s="35" t="s">
        <v>213</v>
      </c>
      <c r="H81" s="36" t="s">
        <v>16</v>
      </c>
      <c r="I81" s="7" t="s">
        <v>289</v>
      </c>
    </row>
    <row r="82" spans="1:9" ht="15.75" customHeight="1" x14ac:dyDescent="0.2">
      <c r="A82" s="25" t="s">
        <v>213</v>
      </c>
      <c r="B82" s="26" t="s">
        <v>293</v>
      </c>
      <c r="C82" s="27" t="s">
        <v>294</v>
      </c>
      <c r="D82" s="11" t="s">
        <v>13</v>
      </c>
      <c r="E82" s="28" t="s">
        <v>295</v>
      </c>
      <c r="F82" s="29" t="s">
        <v>294</v>
      </c>
      <c r="G82" s="30" t="s">
        <v>213</v>
      </c>
      <c r="H82" s="37" t="s">
        <v>16</v>
      </c>
      <c r="I82" s="7" t="s">
        <v>293</v>
      </c>
    </row>
    <row r="83" spans="1:9" ht="15.75" customHeight="1" x14ac:dyDescent="0.2">
      <c r="A83" s="25" t="s">
        <v>213</v>
      </c>
      <c r="B83" s="31" t="s">
        <v>296</v>
      </c>
      <c r="C83" s="32" t="s">
        <v>297</v>
      </c>
      <c r="D83" s="11" t="s">
        <v>13</v>
      </c>
      <c r="E83" s="33" t="s">
        <v>298</v>
      </c>
      <c r="F83" s="34" t="s">
        <v>299</v>
      </c>
      <c r="G83" s="35" t="s">
        <v>213</v>
      </c>
      <c r="H83" s="36" t="s">
        <v>16</v>
      </c>
      <c r="I83" s="7" t="s">
        <v>296</v>
      </c>
    </row>
    <row r="84" spans="1:9" ht="15.75" customHeight="1" x14ac:dyDescent="0.2">
      <c r="A84" s="25" t="s">
        <v>213</v>
      </c>
      <c r="B84" s="26" t="s">
        <v>300</v>
      </c>
      <c r="C84" s="27" t="s">
        <v>301</v>
      </c>
      <c r="D84" s="11" t="s">
        <v>13</v>
      </c>
      <c r="E84" s="28" t="s">
        <v>302</v>
      </c>
      <c r="F84" s="29" t="s">
        <v>303</v>
      </c>
      <c r="G84" s="30" t="s">
        <v>213</v>
      </c>
      <c r="H84" s="37" t="s">
        <v>21</v>
      </c>
      <c r="I84" s="7" t="s">
        <v>300</v>
      </c>
    </row>
    <row r="85" spans="1:9" ht="15.75" customHeight="1" x14ac:dyDescent="0.2">
      <c r="A85" s="25" t="s">
        <v>213</v>
      </c>
      <c r="B85" s="31" t="s">
        <v>304</v>
      </c>
      <c r="C85" s="32" t="s">
        <v>305</v>
      </c>
      <c r="D85" s="11" t="s">
        <v>13</v>
      </c>
      <c r="E85" s="33" t="s">
        <v>306</v>
      </c>
      <c r="F85" s="34" t="s">
        <v>307</v>
      </c>
      <c r="G85" s="35" t="s">
        <v>213</v>
      </c>
      <c r="H85" s="36" t="s">
        <v>16</v>
      </c>
      <c r="I85" s="7" t="s">
        <v>304</v>
      </c>
    </row>
    <row r="86" spans="1:9" ht="15.75" customHeight="1" x14ac:dyDescent="0.2">
      <c r="A86" s="25" t="s">
        <v>213</v>
      </c>
      <c r="B86" s="26" t="s">
        <v>308</v>
      </c>
      <c r="C86" s="27" t="s">
        <v>309</v>
      </c>
      <c r="D86" s="11" t="s">
        <v>13</v>
      </c>
      <c r="E86" s="28" t="s">
        <v>310</v>
      </c>
      <c r="F86" s="29" t="s">
        <v>311</v>
      </c>
      <c r="G86" s="30" t="s">
        <v>213</v>
      </c>
      <c r="H86" s="37" t="s">
        <v>16</v>
      </c>
      <c r="I86" s="7" t="s">
        <v>308</v>
      </c>
    </row>
    <row r="87" spans="1:9" ht="15.75" customHeight="1" x14ac:dyDescent="0.2">
      <c r="A87" s="25" t="s">
        <v>213</v>
      </c>
      <c r="B87" s="31" t="s">
        <v>312</v>
      </c>
      <c r="C87" s="32" t="s">
        <v>313</v>
      </c>
      <c r="D87" s="11" t="s">
        <v>13</v>
      </c>
      <c r="E87" s="33" t="s">
        <v>314</v>
      </c>
      <c r="F87" s="34" t="s">
        <v>313</v>
      </c>
      <c r="G87" s="35" t="s">
        <v>213</v>
      </c>
      <c r="H87" s="36" t="s">
        <v>16</v>
      </c>
      <c r="I87" s="7" t="s">
        <v>312</v>
      </c>
    </row>
    <row r="88" spans="1:9" ht="15.75" customHeight="1" x14ac:dyDescent="0.2">
      <c r="A88" s="25" t="s">
        <v>213</v>
      </c>
      <c r="B88" s="26" t="s">
        <v>315</v>
      </c>
      <c r="C88" s="27" t="s">
        <v>316</v>
      </c>
      <c r="D88" s="11" t="s">
        <v>13</v>
      </c>
      <c r="E88" s="28" t="s">
        <v>317</v>
      </c>
      <c r="F88" s="29" t="s">
        <v>318</v>
      </c>
      <c r="G88" s="30" t="s">
        <v>213</v>
      </c>
      <c r="H88" s="37" t="s">
        <v>16</v>
      </c>
      <c r="I88" s="7" t="s">
        <v>315</v>
      </c>
    </row>
    <row r="89" spans="1:9" ht="15.75" customHeight="1" x14ac:dyDescent="0.2">
      <c r="A89" s="25" t="s">
        <v>213</v>
      </c>
      <c r="B89" s="31" t="s">
        <v>319</v>
      </c>
      <c r="C89" s="32" t="s">
        <v>320</v>
      </c>
      <c r="D89" s="11" t="s">
        <v>13</v>
      </c>
      <c r="E89" s="33" t="s">
        <v>321</v>
      </c>
      <c r="F89" s="34" t="s">
        <v>322</v>
      </c>
      <c r="G89" s="35" t="s">
        <v>213</v>
      </c>
      <c r="H89" s="36" t="s">
        <v>16</v>
      </c>
      <c r="I89" s="7" t="s">
        <v>319</v>
      </c>
    </row>
    <row r="90" spans="1:9" ht="15.75" customHeight="1" x14ac:dyDescent="0.2">
      <c r="A90" s="25" t="s">
        <v>213</v>
      </c>
      <c r="B90" s="26" t="s">
        <v>323</v>
      </c>
      <c r="C90" s="27" t="s">
        <v>324</v>
      </c>
      <c r="D90" s="11" t="s">
        <v>13</v>
      </c>
      <c r="E90" s="28" t="s">
        <v>321</v>
      </c>
      <c r="F90" s="29" t="s">
        <v>322</v>
      </c>
      <c r="G90" s="30" t="s">
        <v>213</v>
      </c>
      <c r="H90" s="37" t="s">
        <v>16</v>
      </c>
      <c r="I90" s="7" t="s">
        <v>323</v>
      </c>
    </row>
    <row r="91" spans="1:9" ht="19" customHeight="1" x14ac:dyDescent="0.2">
      <c r="A91" s="25" t="s">
        <v>213</v>
      </c>
      <c r="B91" s="31" t="s">
        <v>325</v>
      </c>
      <c r="C91" s="32" t="s">
        <v>326</v>
      </c>
      <c r="D91" s="11" t="s">
        <v>13</v>
      </c>
      <c r="E91" s="33" t="s">
        <v>327</v>
      </c>
      <c r="F91" s="34" t="s">
        <v>328</v>
      </c>
      <c r="G91" s="35" t="s">
        <v>213</v>
      </c>
      <c r="H91" s="36" t="s">
        <v>16</v>
      </c>
      <c r="I91" s="7" t="s">
        <v>325</v>
      </c>
    </row>
    <row r="92" spans="1:9" ht="15.75" customHeight="1" x14ac:dyDescent="0.2">
      <c r="A92" s="25" t="s">
        <v>213</v>
      </c>
      <c r="B92" s="26" t="s">
        <v>329</v>
      </c>
      <c r="C92" s="27" t="s">
        <v>330</v>
      </c>
      <c r="D92" s="11" t="s">
        <v>13</v>
      </c>
      <c r="E92" s="28" t="s">
        <v>331</v>
      </c>
      <c r="F92" s="29" t="s">
        <v>330</v>
      </c>
      <c r="G92" s="30" t="s">
        <v>213</v>
      </c>
      <c r="H92" s="37" t="s">
        <v>16</v>
      </c>
      <c r="I92" s="7" t="s">
        <v>329</v>
      </c>
    </row>
    <row r="93" spans="1:9" ht="15.75" customHeight="1" x14ac:dyDescent="0.2">
      <c r="A93" s="25" t="s">
        <v>213</v>
      </c>
      <c r="B93" s="31" t="s">
        <v>332</v>
      </c>
      <c r="C93" s="32" t="s">
        <v>333</v>
      </c>
      <c r="D93" s="11" t="s">
        <v>13</v>
      </c>
      <c r="E93" s="33" t="s">
        <v>334</v>
      </c>
      <c r="F93" s="34" t="s">
        <v>335</v>
      </c>
      <c r="G93" s="35" t="s">
        <v>213</v>
      </c>
      <c r="H93" s="36" t="s">
        <v>16</v>
      </c>
      <c r="I93" s="7" t="s">
        <v>332</v>
      </c>
    </row>
    <row r="94" spans="1:9" ht="15.75" customHeight="1" x14ac:dyDescent="0.2">
      <c r="A94" s="25" t="s">
        <v>213</v>
      </c>
      <c r="B94" s="26" t="s">
        <v>336</v>
      </c>
      <c r="C94" s="27" t="s">
        <v>337</v>
      </c>
      <c r="D94" s="11" t="s">
        <v>13</v>
      </c>
      <c r="E94" s="28" t="s">
        <v>334</v>
      </c>
      <c r="F94" s="29" t="s">
        <v>335</v>
      </c>
      <c r="G94" s="30" t="s">
        <v>213</v>
      </c>
      <c r="H94" s="37" t="s">
        <v>16</v>
      </c>
      <c r="I94" s="7" t="s">
        <v>336</v>
      </c>
    </row>
    <row r="95" spans="1:9" ht="15.75" customHeight="1" x14ac:dyDescent="0.2">
      <c r="A95" s="25" t="s">
        <v>213</v>
      </c>
      <c r="B95" s="31" t="s">
        <v>338</v>
      </c>
      <c r="C95" s="32" t="s">
        <v>339</v>
      </c>
      <c r="D95" s="11" t="s">
        <v>13</v>
      </c>
      <c r="E95" s="33" t="s">
        <v>334</v>
      </c>
      <c r="F95" s="34" t="s">
        <v>335</v>
      </c>
      <c r="G95" s="35" t="s">
        <v>213</v>
      </c>
      <c r="H95" s="36" t="s">
        <v>16</v>
      </c>
      <c r="I95" s="7" t="s">
        <v>338</v>
      </c>
    </row>
    <row r="96" spans="1:9" ht="15.75" customHeight="1" x14ac:dyDescent="0.2">
      <c r="A96" s="25" t="s">
        <v>213</v>
      </c>
      <c r="B96" s="26" t="s">
        <v>340</v>
      </c>
      <c r="C96" s="27" t="s">
        <v>341</v>
      </c>
      <c r="D96" s="11" t="s">
        <v>13</v>
      </c>
      <c r="E96" s="28" t="s">
        <v>334</v>
      </c>
      <c r="F96" s="29" t="s">
        <v>335</v>
      </c>
      <c r="G96" s="30" t="s">
        <v>213</v>
      </c>
      <c r="H96" s="37" t="s">
        <v>16</v>
      </c>
      <c r="I96" s="7" t="s">
        <v>340</v>
      </c>
    </row>
    <row r="97" spans="1:9" ht="15.75" customHeight="1" x14ac:dyDescent="0.2">
      <c r="A97" s="25" t="s">
        <v>213</v>
      </c>
      <c r="B97" s="31" t="s">
        <v>342</v>
      </c>
      <c r="C97" s="32" t="s">
        <v>343</v>
      </c>
      <c r="D97" s="11" t="s">
        <v>13</v>
      </c>
      <c r="E97" s="33" t="s">
        <v>329</v>
      </c>
      <c r="F97" s="34" t="s">
        <v>344</v>
      </c>
      <c r="G97" s="35" t="s">
        <v>213</v>
      </c>
      <c r="H97" s="36" t="s">
        <v>16</v>
      </c>
      <c r="I97" s="7" t="s">
        <v>342</v>
      </c>
    </row>
    <row r="98" spans="1:9" ht="15.75" customHeight="1" x14ac:dyDescent="0.2">
      <c r="A98" s="25" t="s">
        <v>213</v>
      </c>
      <c r="B98" s="26" t="s">
        <v>345</v>
      </c>
      <c r="C98" s="27" t="s">
        <v>346</v>
      </c>
      <c r="D98" s="11" t="s">
        <v>13</v>
      </c>
      <c r="E98" s="28" t="s">
        <v>347</v>
      </c>
      <c r="F98" s="29" t="s">
        <v>346</v>
      </c>
      <c r="G98" s="30" t="s">
        <v>213</v>
      </c>
      <c r="H98" s="37" t="s">
        <v>16</v>
      </c>
      <c r="I98" s="7" t="s">
        <v>345</v>
      </c>
    </row>
    <row r="99" spans="1:9" ht="15.75" customHeight="1" x14ac:dyDescent="0.2">
      <c r="A99" s="25" t="s">
        <v>213</v>
      </c>
      <c r="B99" s="31" t="s">
        <v>348</v>
      </c>
      <c r="C99" s="32" t="s">
        <v>142</v>
      </c>
      <c r="D99" s="23" t="s">
        <v>120</v>
      </c>
      <c r="E99" s="33" t="s">
        <v>349</v>
      </c>
      <c r="F99" s="34" t="s">
        <v>350</v>
      </c>
      <c r="G99" s="35" t="s">
        <v>213</v>
      </c>
      <c r="H99" s="24" t="s">
        <v>351</v>
      </c>
      <c r="I99" s="7" t="s">
        <v>348</v>
      </c>
    </row>
    <row r="100" spans="1:9" ht="15.75" customHeight="1" x14ac:dyDescent="0.2">
      <c r="A100" s="25" t="s">
        <v>213</v>
      </c>
      <c r="B100" s="26" t="s">
        <v>352</v>
      </c>
      <c r="C100" s="27" t="s">
        <v>353</v>
      </c>
      <c r="D100" s="11" t="s">
        <v>13</v>
      </c>
      <c r="E100" s="28" t="s">
        <v>354</v>
      </c>
      <c r="F100" s="29" t="s">
        <v>353</v>
      </c>
      <c r="G100" s="30" t="s">
        <v>213</v>
      </c>
      <c r="H100" s="37" t="s">
        <v>16</v>
      </c>
      <c r="I100" s="7" t="s">
        <v>352</v>
      </c>
    </row>
    <row r="101" spans="1:9" ht="15.75" customHeight="1" x14ac:dyDescent="0.2">
      <c r="A101" s="25" t="s">
        <v>213</v>
      </c>
      <c r="B101" s="31" t="s">
        <v>355</v>
      </c>
      <c r="C101" s="32" t="s">
        <v>356</v>
      </c>
      <c r="D101" s="11" t="s">
        <v>13</v>
      </c>
      <c r="E101" s="33" t="s">
        <v>357</v>
      </c>
      <c r="F101" s="34" t="s">
        <v>356</v>
      </c>
      <c r="G101" s="35" t="s">
        <v>213</v>
      </c>
      <c r="H101" s="36" t="s">
        <v>16</v>
      </c>
      <c r="I101" s="7" t="s">
        <v>355</v>
      </c>
    </row>
    <row r="102" spans="1:9" ht="15.75" customHeight="1" x14ac:dyDescent="0.2">
      <c r="A102" s="25" t="s">
        <v>213</v>
      </c>
      <c r="B102" s="26" t="s">
        <v>358</v>
      </c>
      <c r="C102" s="27" t="s">
        <v>359</v>
      </c>
      <c r="D102" s="11" t="s">
        <v>13</v>
      </c>
      <c r="E102" s="28" t="s">
        <v>360</v>
      </c>
      <c r="F102" s="29" t="s">
        <v>361</v>
      </c>
      <c r="G102" s="30" t="s">
        <v>213</v>
      </c>
      <c r="H102" s="37" t="s">
        <v>16</v>
      </c>
      <c r="I102" s="7" t="s">
        <v>358</v>
      </c>
    </row>
    <row r="103" spans="1:9" ht="15.75" customHeight="1" x14ac:dyDescent="0.2">
      <c r="A103" s="25" t="s">
        <v>213</v>
      </c>
      <c r="B103" s="31" t="s">
        <v>362</v>
      </c>
      <c r="C103" s="32" t="s">
        <v>363</v>
      </c>
      <c r="D103" s="11" t="s">
        <v>13</v>
      </c>
      <c r="E103" s="33" t="s">
        <v>364</v>
      </c>
      <c r="F103" s="34" t="s">
        <v>363</v>
      </c>
      <c r="G103" s="35" t="s">
        <v>213</v>
      </c>
      <c r="H103" s="36" t="s">
        <v>16</v>
      </c>
      <c r="I103" s="7" t="s">
        <v>362</v>
      </c>
    </row>
    <row r="104" spans="1:9" ht="15.75" customHeight="1" x14ac:dyDescent="0.2">
      <c r="A104" s="25" t="s">
        <v>213</v>
      </c>
      <c r="B104" s="26" t="s">
        <v>365</v>
      </c>
      <c r="C104" s="27" t="s">
        <v>366</v>
      </c>
      <c r="D104" s="11" t="s">
        <v>13</v>
      </c>
      <c r="E104" s="28" t="s">
        <v>367</v>
      </c>
      <c r="F104" s="29" t="s">
        <v>366</v>
      </c>
      <c r="G104" s="30" t="s">
        <v>213</v>
      </c>
      <c r="H104" s="37" t="s">
        <v>16</v>
      </c>
      <c r="I104" s="7" t="s">
        <v>365</v>
      </c>
    </row>
    <row r="105" spans="1:9" ht="15.75" customHeight="1" x14ac:dyDescent="0.2">
      <c r="A105" s="25" t="s">
        <v>213</v>
      </c>
      <c r="B105" s="31" t="s">
        <v>368</v>
      </c>
      <c r="C105" s="32" t="s">
        <v>369</v>
      </c>
      <c r="D105" s="11" t="s">
        <v>13</v>
      </c>
      <c r="E105" s="33" t="s">
        <v>349</v>
      </c>
      <c r="F105" s="34" t="s">
        <v>350</v>
      </c>
      <c r="G105" s="35" t="s">
        <v>213</v>
      </c>
      <c r="H105" s="36" t="s">
        <v>16</v>
      </c>
      <c r="I105" s="7" t="s">
        <v>368</v>
      </c>
    </row>
    <row r="106" spans="1:9" ht="15.75" customHeight="1" x14ac:dyDescent="0.2">
      <c r="A106" s="25" t="s">
        <v>213</v>
      </c>
      <c r="B106" s="26" t="s">
        <v>370</v>
      </c>
      <c r="C106" s="27" t="s">
        <v>371</v>
      </c>
      <c r="D106" s="11" t="s">
        <v>13</v>
      </c>
      <c r="E106" s="28" t="s">
        <v>372</v>
      </c>
      <c r="F106" s="29" t="s">
        <v>371</v>
      </c>
      <c r="G106" s="30" t="s">
        <v>213</v>
      </c>
      <c r="H106" s="37" t="s">
        <v>16</v>
      </c>
      <c r="I106" s="7" t="s">
        <v>370</v>
      </c>
    </row>
    <row r="107" spans="1:9" ht="15.75" customHeight="1" x14ac:dyDescent="0.2">
      <c r="A107" s="25" t="s">
        <v>213</v>
      </c>
      <c r="B107" s="31" t="s">
        <v>373</v>
      </c>
      <c r="C107" s="32" t="s">
        <v>374</v>
      </c>
      <c r="D107" s="11" t="s">
        <v>13</v>
      </c>
      <c r="E107" s="33" t="s">
        <v>375</v>
      </c>
      <c r="F107" s="34" t="s">
        <v>376</v>
      </c>
      <c r="G107" s="35" t="s">
        <v>213</v>
      </c>
      <c r="H107" s="36" t="s">
        <v>16</v>
      </c>
      <c r="I107" s="7" t="s">
        <v>373</v>
      </c>
    </row>
    <row r="108" spans="1:9" ht="15.75" customHeight="1" x14ac:dyDescent="0.2">
      <c r="A108" s="25" t="s">
        <v>213</v>
      </c>
      <c r="B108" s="26" t="s">
        <v>375</v>
      </c>
      <c r="C108" s="27" t="s">
        <v>377</v>
      </c>
      <c r="D108" s="23" t="s">
        <v>120</v>
      </c>
      <c r="E108" s="28" t="s">
        <v>378</v>
      </c>
      <c r="F108" s="29" t="s">
        <v>379</v>
      </c>
      <c r="G108" s="30" t="s">
        <v>155</v>
      </c>
      <c r="H108" s="24" t="s">
        <v>380</v>
      </c>
      <c r="I108" s="7" t="s">
        <v>375</v>
      </c>
    </row>
    <row r="109" spans="1:9" ht="15.75" customHeight="1" x14ac:dyDescent="0.2">
      <c r="A109" s="25" t="s">
        <v>213</v>
      </c>
      <c r="B109" s="31" t="s">
        <v>360</v>
      </c>
      <c r="C109" s="32" t="s">
        <v>381</v>
      </c>
      <c r="D109" s="23" t="s">
        <v>120</v>
      </c>
      <c r="E109" s="33" t="s">
        <v>382</v>
      </c>
      <c r="F109" s="34" t="s">
        <v>383</v>
      </c>
      <c r="G109" s="35" t="s">
        <v>155</v>
      </c>
      <c r="H109" s="24" t="s">
        <v>380</v>
      </c>
      <c r="I109" s="7" t="s">
        <v>360</v>
      </c>
    </row>
    <row r="110" spans="1:9" ht="15.75" customHeight="1" x14ac:dyDescent="0.2">
      <c r="A110" s="25" t="s">
        <v>213</v>
      </c>
      <c r="B110" s="26" t="s">
        <v>384</v>
      </c>
      <c r="C110" s="27" t="s">
        <v>385</v>
      </c>
      <c r="D110" s="11" t="s">
        <v>13</v>
      </c>
      <c r="E110" s="28" t="s">
        <v>386</v>
      </c>
      <c r="F110" s="29" t="s">
        <v>387</v>
      </c>
      <c r="G110" s="30" t="s">
        <v>213</v>
      </c>
      <c r="H110" s="37" t="s">
        <v>21</v>
      </c>
      <c r="I110" s="7" t="s">
        <v>384</v>
      </c>
    </row>
    <row r="111" spans="1:9" ht="15.75" customHeight="1" x14ac:dyDescent="0.2">
      <c r="A111" s="25" t="s">
        <v>213</v>
      </c>
      <c r="B111" s="31" t="s">
        <v>388</v>
      </c>
      <c r="C111" s="32" t="s">
        <v>389</v>
      </c>
      <c r="D111" s="23" t="s">
        <v>120</v>
      </c>
      <c r="E111" s="33" t="s">
        <v>390</v>
      </c>
      <c r="F111" s="34" t="s">
        <v>391</v>
      </c>
      <c r="G111" s="35" t="s">
        <v>392</v>
      </c>
      <c r="H111" s="36" t="s">
        <v>393</v>
      </c>
      <c r="I111" s="7" t="s">
        <v>388</v>
      </c>
    </row>
    <row r="112" spans="1:9" ht="15.75" customHeight="1" x14ac:dyDescent="0.2">
      <c r="A112" s="25" t="s">
        <v>213</v>
      </c>
      <c r="B112" s="26" t="s">
        <v>394</v>
      </c>
      <c r="C112" s="27" t="s">
        <v>395</v>
      </c>
      <c r="D112" s="11" t="s">
        <v>13</v>
      </c>
      <c r="E112" s="28" t="s">
        <v>396</v>
      </c>
      <c r="F112" s="29" t="s">
        <v>260</v>
      </c>
      <c r="G112" s="30" t="s">
        <v>213</v>
      </c>
      <c r="H112" s="37" t="s">
        <v>16</v>
      </c>
      <c r="I112" s="7" t="s">
        <v>394</v>
      </c>
    </row>
    <row r="113" spans="1:9" ht="15.75" customHeight="1" x14ac:dyDescent="0.2">
      <c r="A113" s="25" t="s">
        <v>213</v>
      </c>
      <c r="B113" s="31" t="s">
        <v>397</v>
      </c>
      <c r="C113" s="32" t="s">
        <v>398</v>
      </c>
      <c r="D113" s="11" t="s">
        <v>13</v>
      </c>
      <c r="E113" s="33" t="s">
        <v>399</v>
      </c>
      <c r="F113" s="34" t="s">
        <v>400</v>
      </c>
      <c r="G113" s="35" t="s">
        <v>213</v>
      </c>
      <c r="H113" s="36" t="s">
        <v>16</v>
      </c>
      <c r="I113" s="7" t="s">
        <v>397</v>
      </c>
    </row>
    <row r="114" spans="1:9" ht="15.75" customHeight="1" x14ac:dyDescent="0.2">
      <c r="A114" s="25" t="s">
        <v>213</v>
      </c>
      <c r="B114" s="26" t="s">
        <v>401</v>
      </c>
      <c r="C114" s="27" t="s">
        <v>402</v>
      </c>
      <c r="D114" s="23" t="s">
        <v>120</v>
      </c>
      <c r="E114" s="28" t="s">
        <v>403</v>
      </c>
      <c r="F114" s="29" t="s">
        <v>267</v>
      </c>
      <c r="G114" s="30" t="s">
        <v>213</v>
      </c>
      <c r="H114" s="24" t="s">
        <v>404</v>
      </c>
      <c r="I114" s="7" t="s">
        <v>401</v>
      </c>
    </row>
    <row r="115" spans="1:9" ht="15.75" customHeight="1" x14ac:dyDescent="0.2">
      <c r="A115" s="25" t="s">
        <v>213</v>
      </c>
      <c r="B115" s="31" t="s">
        <v>405</v>
      </c>
      <c r="C115" s="32" t="s">
        <v>406</v>
      </c>
      <c r="D115" s="23" t="s">
        <v>120</v>
      </c>
      <c r="E115" s="33" t="s">
        <v>407</v>
      </c>
      <c r="F115" s="34" t="s">
        <v>407</v>
      </c>
      <c r="G115" s="35" t="s">
        <v>407</v>
      </c>
      <c r="H115" s="24" t="s">
        <v>408</v>
      </c>
      <c r="I115" s="7" t="s">
        <v>405</v>
      </c>
    </row>
    <row r="116" spans="1:9" ht="15.75" customHeight="1" x14ac:dyDescent="0.2">
      <c r="A116" s="25" t="s">
        <v>213</v>
      </c>
      <c r="B116" s="26" t="s">
        <v>409</v>
      </c>
      <c r="C116" s="27" t="s">
        <v>410</v>
      </c>
      <c r="D116" s="11" t="s">
        <v>13</v>
      </c>
      <c r="E116" s="28" t="s">
        <v>411</v>
      </c>
      <c r="F116" s="29" t="s">
        <v>412</v>
      </c>
      <c r="G116" s="30" t="s">
        <v>213</v>
      </c>
      <c r="H116" s="37" t="s">
        <v>16</v>
      </c>
      <c r="I116" s="7" t="s">
        <v>409</v>
      </c>
    </row>
    <row r="117" spans="1:9" ht="15.75" customHeight="1" x14ac:dyDescent="0.2">
      <c r="A117" s="25" t="s">
        <v>213</v>
      </c>
      <c r="B117" s="31" t="s">
        <v>413</v>
      </c>
      <c r="C117" s="32" t="s">
        <v>414</v>
      </c>
      <c r="D117" s="11" t="s">
        <v>13</v>
      </c>
      <c r="E117" s="33" t="s">
        <v>415</v>
      </c>
      <c r="F117" s="34" t="s">
        <v>416</v>
      </c>
      <c r="G117" s="35" t="s">
        <v>213</v>
      </c>
      <c r="H117" s="36" t="s">
        <v>16</v>
      </c>
      <c r="I117" s="7" t="s">
        <v>413</v>
      </c>
    </row>
    <row r="118" spans="1:9" ht="15.75" customHeight="1" x14ac:dyDescent="0.2">
      <c r="A118" s="25" t="s">
        <v>213</v>
      </c>
      <c r="B118" s="26" t="s">
        <v>417</v>
      </c>
      <c r="C118" s="27" t="s">
        <v>418</v>
      </c>
      <c r="D118" s="11" t="s">
        <v>13</v>
      </c>
      <c r="E118" s="28" t="s">
        <v>419</v>
      </c>
      <c r="F118" s="29" t="s">
        <v>330</v>
      </c>
      <c r="G118" s="30" t="s">
        <v>213</v>
      </c>
      <c r="H118" s="37" t="s">
        <v>16</v>
      </c>
      <c r="I118" s="7" t="s">
        <v>417</v>
      </c>
    </row>
    <row r="119" spans="1:9" ht="15.75" customHeight="1" x14ac:dyDescent="0.2">
      <c r="A119" s="25" t="s">
        <v>213</v>
      </c>
      <c r="B119" s="31" t="s">
        <v>420</v>
      </c>
      <c r="C119" s="32" t="s">
        <v>421</v>
      </c>
      <c r="D119" s="11" t="s">
        <v>13</v>
      </c>
      <c r="E119" s="33" t="s">
        <v>419</v>
      </c>
      <c r="F119" s="34" t="s">
        <v>330</v>
      </c>
      <c r="G119" s="35" t="s">
        <v>213</v>
      </c>
      <c r="H119" s="36" t="s">
        <v>16</v>
      </c>
      <c r="I119" s="7" t="s">
        <v>420</v>
      </c>
    </row>
    <row r="120" spans="1:9" ht="15.75" customHeight="1" x14ac:dyDescent="0.2">
      <c r="A120" s="25" t="s">
        <v>213</v>
      </c>
      <c r="B120" s="26" t="s">
        <v>422</v>
      </c>
      <c r="C120" s="27" t="s">
        <v>423</v>
      </c>
      <c r="D120" s="11" t="s">
        <v>13</v>
      </c>
      <c r="E120" s="28" t="s">
        <v>424</v>
      </c>
      <c r="F120" s="29" t="s">
        <v>425</v>
      </c>
      <c r="G120" s="30" t="s">
        <v>213</v>
      </c>
      <c r="H120" s="37" t="s">
        <v>16</v>
      </c>
      <c r="I120" s="7" t="s">
        <v>422</v>
      </c>
    </row>
    <row r="121" spans="1:9" ht="15.75" customHeight="1" x14ac:dyDescent="0.2">
      <c r="A121" s="25" t="s">
        <v>213</v>
      </c>
      <c r="B121" s="31" t="s">
        <v>426</v>
      </c>
      <c r="C121" s="32" t="s">
        <v>427</v>
      </c>
      <c r="D121" s="11" t="s">
        <v>13</v>
      </c>
      <c r="E121" s="33" t="s">
        <v>428</v>
      </c>
      <c r="F121" s="34" t="s">
        <v>429</v>
      </c>
      <c r="G121" s="35" t="s">
        <v>213</v>
      </c>
      <c r="H121" s="36" t="s">
        <v>16</v>
      </c>
      <c r="I121" s="7" t="s">
        <v>426</v>
      </c>
    </row>
    <row r="122" spans="1:9" ht="15.75" customHeight="1" x14ac:dyDescent="0.2">
      <c r="A122" s="25" t="s">
        <v>213</v>
      </c>
      <c r="B122" s="26" t="s">
        <v>430</v>
      </c>
      <c r="C122" s="27" t="s">
        <v>431</v>
      </c>
      <c r="D122" s="11" t="s">
        <v>13</v>
      </c>
      <c r="E122" s="28" t="s">
        <v>432</v>
      </c>
      <c r="F122" s="29" t="s">
        <v>433</v>
      </c>
      <c r="G122" s="30" t="s">
        <v>213</v>
      </c>
      <c r="H122" s="37" t="s">
        <v>16</v>
      </c>
      <c r="I122" s="7" t="s">
        <v>430</v>
      </c>
    </row>
    <row r="123" spans="1:9" ht="15.75" customHeight="1" x14ac:dyDescent="0.2">
      <c r="A123" s="25" t="s">
        <v>213</v>
      </c>
      <c r="B123" s="31" t="s">
        <v>434</v>
      </c>
      <c r="C123" s="32" t="s">
        <v>435</v>
      </c>
      <c r="D123" s="11" t="s">
        <v>13</v>
      </c>
      <c r="E123" s="33" t="s">
        <v>436</v>
      </c>
      <c r="F123" s="34" t="s">
        <v>371</v>
      </c>
      <c r="G123" s="35" t="s">
        <v>213</v>
      </c>
      <c r="H123" s="36" t="s">
        <v>16</v>
      </c>
      <c r="I123" s="7" t="s">
        <v>434</v>
      </c>
    </row>
    <row r="124" spans="1:9" ht="15.75" customHeight="1" x14ac:dyDescent="0.2">
      <c r="A124" s="25" t="s">
        <v>213</v>
      </c>
      <c r="B124" s="26" t="s">
        <v>437</v>
      </c>
      <c r="C124" s="27" t="s">
        <v>438</v>
      </c>
      <c r="D124" s="11" t="s">
        <v>13</v>
      </c>
      <c r="E124" s="28" t="s">
        <v>439</v>
      </c>
      <c r="F124" s="29" t="s">
        <v>440</v>
      </c>
      <c r="G124" s="30" t="s">
        <v>213</v>
      </c>
      <c r="H124" s="37" t="s">
        <v>16</v>
      </c>
      <c r="I124" s="7" t="s">
        <v>437</v>
      </c>
    </row>
    <row r="125" spans="1:9" ht="21.75" customHeight="1" x14ac:dyDescent="0.2">
      <c r="A125" s="180" t="s">
        <v>441</v>
      </c>
      <c r="B125" s="180"/>
      <c r="C125" s="180"/>
      <c r="D125" s="180"/>
      <c r="E125" s="180"/>
      <c r="F125" s="180"/>
      <c r="G125" s="180"/>
      <c r="H125" s="180"/>
      <c r="I125" s="7"/>
    </row>
    <row r="126" spans="1:9" ht="15.75" customHeight="1" x14ac:dyDescent="0.2">
      <c r="A126" s="38" t="s">
        <v>442</v>
      </c>
      <c r="B126" s="39" t="s">
        <v>443</v>
      </c>
      <c r="C126" s="40" t="s">
        <v>444</v>
      </c>
      <c r="D126" s="11" t="s">
        <v>13</v>
      </c>
      <c r="E126" s="41" t="s">
        <v>445</v>
      </c>
      <c r="F126" s="42" t="s">
        <v>446</v>
      </c>
      <c r="G126" s="43" t="s">
        <v>442</v>
      </c>
      <c r="H126" s="44" t="s">
        <v>16</v>
      </c>
      <c r="I126" s="7" t="s">
        <v>443</v>
      </c>
    </row>
    <row r="127" spans="1:9" ht="15.75" customHeight="1" x14ac:dyDescent="0.2">
      <c r="A127" s="38" t="s">
        <v>442</v>
      </c>
      <c r="B127" s="45" t="s">
        <v>447</v>
      </c>
      <c r="C127" s="46" t="s">
        <v>448</v>
      </c>
      <c r="D127" s="11" t="s">
        <v>13</v>
      </c>
      <c r="E127" s="47" t="s">
        <v>449</v>
      </c>
      <c r="F127" s="48" t="s">
        <v>450</v>
      </c>
      <c r="G127" s="49" t="s">
        <v>442</v>
      </c>
      <c r="H127" s="50" t="s">
        <v>16</v>
      </c>
      <c r="I127" s="7" t="s">
        <v>447</v>
      </c>
    </row>
    <row r="128" spans="1:9" ht="15.75" customHeight="1" x14ac:dyDescent="0.2">
      <c r="A128" s="38" t="s">
        <v>442</v>
      </c>
      <c r="B128" s="39" t="s">
        <v>451</v>
      </c>
      <c r="C128" s="40" t="s">
        <v>452</v>
      </c>
      <c r="D128" s="11" t="s">
        <v>13</v>
      </c>
      <c r="E128" s="41" t="s">
        <v>453</v>
      </c>
      <c r="F128" s="42" t="s">
        <v>454</v>
      </c>
      <c r="G128" s="43" t="s">
        <v>442</v>
      </c>
      <c r="H128" s="44" t="s">
        <v>16</v>
      </c>
      <c r="I128" s="7" t="s">
        <v>451</v>
      </c>
    </row>
    <row r="129" spans="1:9" ht="15.75" customHeight="1" x14ac:dyDescent="0.2">
      <c r="A129" s="38" t="s">
        <v>442</v>
      </c>
      <c r="B129" s="45" t="s">
        <v>455</v>
      </c>
      <c r="C129" s="46" t="s">
        <v>456</v>
      </c>
      <c r="D129" s="11" t="s">
        <v>13</v>
      </c>
      <c r="E129" s="47" t="s">
        <v>457</v>
      </c>
      <c r="F129" s="48" t="s">
        <v>456</v>
      </c>
      <c r="G129" s="49" t="s">
        <v>442</v>
      </c>
      <c r="H129" s="50" t="s">
        <v>16</v>
      </c>
      <c r="I129" s="7" t="s">
        <v>455</v>
      </c>
    </row>
    <row r="130" spans="1:9" ht="15.75" customHeight="1" x14ac:dyDescent="0.2">
      <c r="A130" s="38" t="s">
        <v>442</v>
      </c>
      <c r="B130" s="39" t="s">
        <v>458</v>
      </c>
      <c r="C130" s="40" t="s">
        <v>459</v>
      </c>
      <c r="D130" s="11" t="s">
        <v>13</v>
      </c>
      <c r="E130" s="41" t="s">
        <v>460</v>
      </c>
      <c r="F130" s="42" t="s">
        <v>459</v>
      </c>
      <c r="G130" s="43" t="s">
        <v>442</v>
      </c>
      <c r="H130" s="44" t="s">
        <v>16</v>
      </c>
      <c r="I130" s="7" t="s">
        <v>458</v>
      </c>
    </row>
    <row r="131" spans="1:9" ht="15.75" customHeight="1" x14ac:dyDescent="0.2">
      <c r="A131" s="38" t="s">
        <v>442</v>
      </c>
      <c r="B131" s="45" t="s">
        <v>461</v>
      </c>
      <c r="C131" s="46" t="s">
        <v>462</v>
      </c>
      <c r="D131" s="11" t="s">
        <v>13</v>
      </c>
      <c r="E131" s="47" t="s">
        <v>463</v>
      </c>
      <c r="F131" s="48" t="s">
        <v>462</v>
      </c>
      <c r="G131" s="49" t="s">
        <v>442</v>
      </c>
      <c r="H131" s="50" t="s">
        <v>16</v>
      </c>
      <c r="I131" s="7" t="s">
        <v>461</v>
      </c>
    </row>
    <row r="132" spans="1:9" ht="15.75" customHeight="1" x14ac:dyDescent="0.2">
      <c r="A132" s="38" t="s">
        <v>442</v>
      </c>
      <c r="B132" s="39" t="s">
        <v>464</v>
      </c>
      <c r="C132" s="40" t="s">
        <v>465</v>
      </c>
      <c r="D132" s="11" t="s">
        <v>13</v>
      </c>
      <c r="E132" s="41" t="s">
        <v>466</v>
      </c>
      <c r="F132" s="42" t="s">
        <v>465</v>
      </c>
      <c r="G132" s="43" t="s">
        <v>442</v>
      </c>
      <c r="H132" s="44" t="s">
        <v>16</v>
      </c>
      <c r="I132" s="7" t="s">
        <v>464</v>
      </c>
    </row>
    <row r="133" spans="1:9" ht="15.75" customHeight="1" x14ac:dyDescent="0.2">
      <c r="A133" s="38" t="s">
        <v>442</v>
      </c>
      <c r="B133" s="45" t="s">
        <v>467</v>
      </c>
      <c r="C133" s="46" t="s">
        <v>468</v>
      </c>
      <c r="D133" s="11" t="s">
        <v>13</v>
      </c>
      <c r="E133" s="47" t="s">
        <v>469</v>
      </c>
      <c r="F133" s="48" t="s">
        <v>470</v>
      </c>
      <c r="G133" s="49" t="s">
        <v>442</v>
      </c>
      <c r="H133" s="50" t="s">
        <v>16</v>
      </c>
      <c r="I133" s="7" t="s">
        <v>467</v>
      </c>
    </row>
    <row r="134" spans="1:9" ht="15.75" customHeight="1" x14ac:dyDescent="0.2">
      <c r="A134" s="38" t="s">
        <v>442</v>
      </c>
      <c r="B134" s="39" t="s">
        <v>471</v>
      </c>
      <c r="C134" s="40" t="s">
        <v>472</v>
      </c>
      <c r="D134" s="11" t="s">
        <v>13</v>
      </c>
      <c r="E134" s="41" t="s">
        <v>473</v>
      </c>
      <c r="F134" s="42" t="s">
        <v>474</v>
      </c>
      <c r="G134" s="43" t="s">
        <v>442</v>
      </c>
      <c r="H134" s="44" t="s">
        <v>16</v>
      </c>
      <c r="I134" s="7" t="s">
        <v>471</v>
      </c>
    </row>
    <row r="135" spans="1:9" ht="15.75" customHeight="1" x14ac:dyDescent="0.2">
      <c r="A135" s="38" t="s">
        <v>442</v>
      </c>
      <c r="B135" s="45" t="s">
        <v>475</v>
      </c>
      <c r="C135" s="46" t="s">
        <v>476</v>
      </c>
      <c r="D135" s="11" t="s">
        <v>13</v>
      </c>
      <c r="E135" s="47" t="s">
        <v>477</v>
      </c>
      <c r="F135" s="48" t="s">
        <v>478</v>
      </c>
      <c r="G135" s="49" t="s">
        <v>442</v>
      </c>
      <c r="H135" s="50" t="s">
        <v>16</v>
      </c>
      <c r="I135" s="7" t="s">
        <v>475</v>
      </c>
    </row>
    <row r="136" spans="1:9" ht="15.75" customHeight="1" x14ac:dyDescent="0.2">
      <c r="A136" s="38" t="s">
        <v>442</v>
      </c>
      <c r="B136" s="39" t="s">
        <v>479</v>
      </c>
      <c r="C136" s="40" t="s">
        <v>480</v>
      </c>
      <c r="D136" s="11" t="s">
        <v>13</v>
      </c>
      <c r="E136" s="41" t="s">
        <v>481</v>
      </c>
      <c r="F136" s="42" t="s">
        <v>480</v>
      </c>
      <c r="G136" s="43" t="s">
        <v>442</v>
      </c>
      <c r="H136" s="44" t="s">
        <v>16</v>
      </c>
      <c r="I136" s="7" t="s">
        <v>479</v>
      </c>
    </row>
    <row r="137" spans="1:9" ht="15.75" customHeight="1" x14ac:dyDescent="0.2">
      <c r="A137" s="38" t="s">
        <v>442</v>
      </c>
      <c r="B137" s="45" t="s">
        <v>482</v>
      </c>
      <c r="C137" s="46" t="s">
        <v>483</v>
      </c>
      <c r="D137" s="23" t="s">
        <v>120</v>
      </c>
      <c r="E137" s="47" t="s">
        <v>484</v>
      </c>
      <c r="F137" s="48" t="s">
        <v>485</v>
      </c>
      <c r="G137" s="49" t="s">
        <v>155</v>
      </c>
      <c r="H137" s="24" t="s">
        <v>486</v>
      </c>
      <c r="I137" s="7" t="s">
        <v>482</v>
      </c>
    </row>
    <row r="138" spans="1:9" ht="15.75" customHeight="1" x14ac:dyDescent="0.2">
      <c r="A138" s="38" t="s">
        <v>442</v>
      </c>
      <c r="B138" s="39" t="s">
        <v>487</v>
      </c>
      <c r="C138" s="40" t="s">
        <v>488</v>
      </c>
      <c r="D138" s="23" t="s">
        <v>120</v>
      </c>
      <c r="E138" s="41" t="s">
        <v>489</v>
      </c>
      <c r="F138" s="42" t="s">
        <v>490</v>
      </c>
      <c r="G138" s="43" t="s">
        <v>155</v>
      </c>
      <c r="H138" s="24" t="s">
        <v>491</v>
      </c>
      <c r="I138" s="7" t="s">
        <v>487</v>
      </c>
    </row>
    <row r="139" spans="1:9" ht="15.75" customHeight="1" x14ac:dyDescent="0.2">
      <c r="A139" s="38" t="s">
        <v>442</v>
      </c>
      <c r="B139" s="45" t="s">
        <v>492</v>
      </c>
      <c r="C139" s="46" t="s">
        <v>493</v>
      </c>
      <c r="D139" s="23" t="s">
        <v>120</v>
      </c>
      <c r="E139" s="47" t="s">
        <v>494</v>
      </c>
      <c r="F139" s="48" t="s">
        <v>495</v>
      </c>
      <c r="G139" s="49" t="s">
        <v>155</v>
      </c>
      <c r="H139" s="24" t="s">
        <v>491</v>
      </c>
      <c r="I139" s="7" t="s">
        <v>492</v>
      </c>
    </row>
    <row r="140" spans="1:9" ht="15.75" customHeight="1" x14ac:dyDescent="0.2">
      <c r="A140" s="38" t="s">
        <v>442</v>
      </c>
      <c r="B140" s="39" t="s">
        <v>496</v>
      </c>
      <c r="C140" s="40" t="s">
        <v>497</v>
      </c>
      <c r="D140" s="23" t="s">
        <v>120</v>
      </c>
      <c r="E140" s="41" t="s">
        <v>498</v>
      </c>
      <c r="F140" s="42" t="s">
        <v>497</v>
      </c>
      <c r="G140" s="43" t="s">
        <v>155</v>
      </c>
      <c r="H140" s="24" t="s">
        <v>499</v>
      </c>
      <c r="I140" s="7" t="s">
        <v>496</v>
      </c>
    </row>
    <row r="141" spans="1:9" ht="15.75" customHeight="1" x14ac:dyDescent="0.2">
      <c r="A141" s="38" t="s">
        <v>442</v>
      </c>
      <c r="B141" s="45" t="s">
        <v>500</v>
      </c>
      <c r="C141" s="46" t="s">
        <v>501</v>
      </c>
      <c r="D141" s="23" t="s">
        <v>120</v>
      </c>
      <c r="E141" s="47" t="s">
        <v>502</v>
      </c>
      <c r="F141" s="48" t="s">
        <v>503</v>
      </c>
      <c r="G141" s="49" t="s">
        <v>155</v>
      </c>
      <c r="H141" s="24" t="s">
        <v>491</v>
      </c>
      <c r="I141" s="7" t="s">
        <v>500</v>
      </c>
    </row>
    <row r="142" spans="1:9" ht="15.75" customHeight="1" x14ac:dyDescent="0.2">
      <c r="A142" s="38" t="s">
        <v>442</v>
      </c>
      <c r="B142" s="39" t="s">
        <v>504</v>
      </c>
      <c r="C142" s="40" t="s">
        <v>505</v>
      </c>
      <c r="D142" s="23" t="s">
        <v>120</v>
      </c>
      <c r="E142" s="41" t="s">
        <v>506</v>
      </c>
      <c r="F142" s="42" t="s">
        <v>505</v>
      </c>
      <c r="G142" s="43" t="s">
        <v>155</v>
      </c>
      <c r="H142" s="24" t="s">
        <v>491</v>
      </c>
      <c r="I142" s="7" t="s">
        <v>504</v>
      </c>
    </row>
    <row r="143" spans="1:9" ht="15.75" customHeight="1" x14ac:dyDescent="0.2">
      <c r="A143" s="38" t="s">
        <v>442</v>
      </c>
      <c r="B143" s="45" t="s">
        <v>507</v>
      </c>
      <c r="C143" s="46" t="s">
        <v>508</v>
      </c>
      <c r="D143" s="23" t="s">
        <v>120</v>
      </c>
      <c r="E143" s="47" t="s">
        <v>509</v>
      </c>
      <c r="F143" s="48" t="s">
        <v>510</v>
      </c>
      <c r="G143" s="49" t="s">
        <v>155</v>
      </c>
      <c r="H143" s="24" t="s">
        <v>491</v>
      </c>
      <c r="I143" s="7" t="s">
        <v>507</v>
      </c>
    </row>
    <row r="144" spans="1:9" ht="15.75" customHeight="1" x14ac:dyDescent="0.2">
      <c r="A144" s="38" t="s">
        <v>442</v>
      </c>
      <c r="B144" s="39" t="s">
        <v>511</v>
      </c>
      <c r="C144" s="40" t="s">
        <v>512</v>
      </c>
      <c r="D144" s="23" t="s">
        <v>120</v>
      </c>
      <c r="E144" s="41" t="s">
        <v>513</v>
      </c>
      <c r="F144" s="42" t="s">
        <v>514</v>
      </c>
      <c r="G144" s="43" t="s">
        <v>155</v>
      </c>
      <c r="H144" s="24" t="s">
        <v>491</v>
      </c>
      <c r="I144" s="7" t="s">
        <v>511</v>
      </c>
    </row>
    <row r="145" spans="1:9" ht="15.75" customHeight="1" x14ac:dyDescent="0.2">
      <c r="A145" s="38" t="s">
        <v>442</v>
      </c>
      <c r="B145" s="45" t="s">
        <v>515</v>
      </c>
      <c r="C145" s="46" t="s">
        <v>516</v>
      </c>
      <c r="D145" s="23" t="s">
        <v>120</v>
      </c>
      <c r="E145" s="47" t="s">
        <v>517</v>
      </c>
      <c r="F145" s="48" t="s">
        <v>518</v>
      </c>
      <c r="G145" s="49" t="s">
        <v>155</v>
      </c>
      <c r="H145" s="24" t="s">
        <v>519</v>
      </c>
      <c r="I145" s="7" t="s">
        <v>515</v>
      </c>
    </row>
    <row r="146" spans="1:9" ht="15.75" customHeight="1" x14ac:dyDescent="0.2">
      <c r="A146" s="38" t="s">
        <v>442</v>
      </c>
      <c r="B146" s="39" t="s">
        <v>520</v>
      </c>
      <c r="C146" s="40" t="s">
        <v>521</v>
      </c>
      <c r="D146" s="23" t="s">
        <v>120</v>
      </c>
      <c r="E146" s="41" t="s">
        <v>517</v>
      </c>
      <c r="F146" s="42" t="s">
        <v>518</v>
      </c>
      <c r="G146" s="43" t="s">
        <v>155</v>
      </c>
      <c r="H146" s="24" t="s">
        <v>522</v>
      </c>
      <c r="I146" s="7" t="s">
        <v>520</v>
      </c>
    </row>
    <row r="147" spans="1:9" ht="15.75" customHeight="1" x14ac:dyDescent="0.2">
      <c r="A147" s="38" t="s">
        <v>442</v>
      </c>
      <c r="B147" s="45" t="s">
        <v>523</v>
      </c>
      <c r="C147" s="46" t="s">
        <v>524</v>
      </c>
      <c r="D147" s="23" t="s">
        <v>120</v>
      </c>
      <c r="E147" s="47" t="s">
        <v>525</v>
      </c>
      <c r="F147" s="48" t="s">
        <v>526</v>
      </c>
      <c r="G147" s="49" t="s">
        <v>155</v>
      </c>
      <c r="H147" s="24" t="s">
        <v>491</v>
      </c>
      <c r="I147" s="7" t="s">
        <v>523</v>
      </c>
    </row>
    <row r="148" spans="1:9" ht="15.75" customHeight="1" x14ac:dyDescent="0.2">
      <c r="A148" s="38" t="s">
        <v>442</v>
      </c>
      <c r="B148" s="39" t="s">
        <v>527</v>
      </c>
      <c r="C148" s="40" t="s">
        <v>528</v>
      </c>
      <c r="D148" s="23" t="s">
        <v>120</v>
      </c>
      <c r="E148" s="41" t="s">
        <v>529</v>
      </c>
      <c r="F148" s="42" t="s">
        <v>530</v>
      </c>
      <c r="G148" s="43" t="s">
        <v>155</v>
      </c>
      <c r="H148" s="24" t="s">
        <v>491</v>
      </c>
      <c r="I148" s="7" t="s">
        <v>527</v>
      </c>
    </row>
    <row r="149" spans="1:9" ht="15.75" customHeight="1" x14ac:dyDescent="0.2">
      <c r="A149" s="38" t="s">
        <v>442</v>
      </c>
      <c r="B149" s="45" t="s">
        <v>531</v>
      </c>
      <c r="C149" s="46" t="s">
        <v>532</v>
      </c>
      <c r="D149" s="23" t="s">
        <v>120</v>
      </c>
      <c r="E149" s="47" t="s">
        <v>533</v>
      </c>
      <c r="F149" s="48" t="s">
        <v>534</v>
      </c>
      <c r="G149" s="49" t="s">
        <v>155</v>
      </c>
      <c r="H149" s="24" t="s">
        <v>491</v>
      </c>
      <c r="I149" s="7" t="s">
        <v>531</v>
      </c>
    </row>
    <row r="150" spans="1:9" ht="15.75" customHeight="1" x14ac:dyDescent="0.2">
      <c r="A150" s="38" t="s">
        <v>442</v>
      </c>
      <c r="B150" s="39" t="s">
        <v>535</v>
      </c>
      <c r="C150" s="40" t="s">
        <v>536</v>
      </c>
      <c r="D150" s="23" t="s">
        <v>120</v>
      </c>
      <c r="E150" s="41" t="s">
        <v>537</v>
      </c>
      <c r="F150" s="42" t="s">
        <v>538</v>
      </c>
      <c r="G150" s="43" t="s">
        <v>155</v>
      </c>
      <c r="H150" s="24" t="s">
        <v>491</v>
      </c>
      <c r="I150" s="7" t="s">
        <v>535</v>
      </c>
    </row>
    <row r="151" spans="1:9" ht="15.75" customHeight="1" x14ac:dyDescent="0.2">
      <c r="A151" s="38" t="s">
        <v>442</v>
      </c>
      <c r="B151" s="45" t="s">
        <v>539</v>
      </c>
      <c r="C151" s="46" t="s">
        <v>540</v>
      </c>
      <c r="D151" s="23" t="s">
        <v>120</v>
      </c>
      <c r="E151" s="47" t="s">
        <v>541</v>
      </c>
      <c r="F151" s="48" t="s">
        <v>542</v>
      </c>
      <c r="G151" s="49" t="s">
        <v>155</v>
      </c>
      <c r="H151" s="24" t="s">
        <v>491</v>
      </c>
      <c r="I151" s="7" t="s">
        <v>539</v>
      </c>
    </row>
    <row r="152" spans="1:9" ht="15.75" customHeight="1" x14ac:dyDescent="0.2">
      <c r="A152" s="38" t="s">
        <v>442</v>
      </c>
      <c r="B152" s="39" t="s">
        <v>543</v>
      </c>
      <c r="C152" s="40" t="s">
        <v>544</v>
      </c>
      <c r="D152" s="23" t="s">
        <v>120</v>
      </c>
      <c r="E152" s="41" t="s">
        <v>148</v>
      </c>
      <c r="F152" s="42" t="s">
        <v>149</v>
      </c>
      <c r="G152" s="43" t="s">
        <v>155</v>
      </c>
      <c r="H152" s="24" t="s">
        <v>491</v>
      </c>
      <c r="I152" s="7" t="s">
        <v>543</v>
      </c>
    </row>
    <row r="153" spans="1:9" ht="15.75" customHeight="1" x14ac:dyDescent="0.2">
      <c r="A153" s="38" t="s">
        <v>442</v>
      </c>
      <c r="B153" s="45" t="s">
        <v>545</v>
      </c>
      <c r="C153" s="46" t="s">
        <v>546</v>
      </c>
      <c r="D153" s="23" t="s">
        <v>120</v>
      </c>
      <c r="E153" s="47" t="s">
        <v>547</v>
      </c>
      <c r="F153" s="48" t="s">
        <v>546</v>
      </c>
      <c r="G153" s="49" t="s">
        <v>155</v>
      </c>
      <c r="H153" s="24" t="s">
        <v>491</v>
      </c>
      <c r="I153" s="7" t="s">
        <v>545</v>
      </c>
    </row>
    <row r="154" spans="1:9" ht="15.75" customHeight="1" x14ac:dyDescent="0.2">
      <c r="A154" s="38" t="s">
        <v>442</v>
      </c>
      <c r="B154" s="39" t="s">
        <v>548</v>
      </c>
      <c r="C154" s="40" t="s">
        <v>241</v>
      </c>
      <c r="D154" s="23" t="s">
        <v>120</v>
      </c>
      <c r="E154" s="41" t="s">
        <v>240</v>
      </c>
      <c r="F154" s="42" t="s">
        <v>241</v>
      </c>
      <c r="G154" s="43" t="s">
        <v>155</v>
      </c>
      <c r="H154" s="24" t="s">
        <v>491</v>
      </c>
      <c r="I154" s="7" t="s">
        <v>548</v>
      </c>
    </row>
    <row r="155" spans="1:9" ht="15.75" customHeight="1" x14ac:dyDescent="0.2">
      <c r="A155" s="38" t="s">
        <v>442</v>
      </c>
      <c r="B155" s="45" t="s">
        <v>549</v>
      </c>
      <c r="C155" s="46" t="s">
        <v>550</v>
      </c>
      <c r="D155" s="23" t="s">
        <v>120</v>
      </c>
      <c r="E155" s="47" t="s">
        <v>551</v>
      </c>
      <c r="F155" s="48" t="s">
        <v>552</v>
      </c>
      <c r="G155" s="49" t="s">
        <v>155</v>
      </c>
      <c r="H155" s="24" t="s">
        <v>491</v>
      </c>
      <c r="I155" s="7" t="s">
        <v>549</v>
      </c>
    </row>
    <row r="156" spans="1:9" ht="15.75" customHeight="1" x14ac:dyDescent="0.2">
      <c r="A156" s="38" t="s">
        <v>442</v>
      </c>
      <c r="B156" s="39" t="s">
        <v>553</v>
      </c>
      <c r="C156" s="40" t="s">
        <v>554</v>
      </c>
      <c r="D156" s="23" t="s">
        <v>120</v>
      </c>
      <c r="E156" s="41" t="s">
        <v>555</v>
      </c>
      <c r="F156" s="42" t="s">
        <v>556</v>
      </c>
      <c r="G156" s="43" t="s">
        <v>557</v>
      </c>
      <c r="H156" s="24" t="s">
        <v>558</v>
      </c>
      <c r="I156" s="7" t="s">
        <v>477</v>
      </c>
    </row>
    <row r="157" spans="1:9" ht="15.75" customHeight="1" x14ac:dyDescent="0.2">
      <c r="A157" s="38" t="s">
        <v>442</v>
      </c>
      <c r="B157" s="45" t="s">
        <v>559</v>
      </c>
      <c r="C157" s="46" t="s">
        <v>560</v>
      </c>
      <c r="D157" s="23" t="s">
        <v>120</v>
      </c>
      <c r="E157" s="47" t="s">
        <v>561</v>
      </c>
      <c r="F157" s="48" t="s">
        <v>562</v>
      </c>
      <c r="G157" s="49" t="s">
        <v>557</v>
      </c>
      <c r="H157" s="24" t="s">
        <v>563</v>
      </c>
      <c r="I157" s="7" t="s">
        <v>559</v>
      </c>
    </row>
    <row r="158" spans="1:9" ht="15.75" customHeight="1" x14ac:dyDescent="0.2">
      <c r="A158" s="38" t="s">
        <v>442</v>
      </c>
      <c r="B158" s="39" t="s">
        <v>564</v>
      </c>
      <c r="C158" s="40" t="s">
        <v>565</v>
      </c>
      <c r="D158" s="23" t="s">
        <v>120</v>
      </c>
      <c r="E158" s="41" t="s">
        <v>566</v>
      </c>
      <c r="F158" s="42" t="s">
        <v>565</v>
      </c>
      <c r="G158" s="43" t="s">
        <v>557</v>
      </c>
      <c r="H158" s="24" t="s">
        <v>563</v>
      </c>
      <c r="I158" s="7" t="s">
        <v>564</v>
      </c>
    </row>
    <row r="159" spans="1:9" ht="15.75" customHeight="1" x14ac:dyDescent="0.2">
      <c r="A159" s="38" t="s">
        <v>442</v>
      </c>
      <c r="B159" s="45" t="s">
        <v>567</v>
      </c>
      <c r="C159" s="46" t="s">
        <v>568</v>
      </c>
      <c r="D159" s="23" t="s">
        <v>120</v>
      </c>
      <c r="E159" s="47" t="s">
        <v>569</v>
      </c>
      <c r="F159" s="48" t="s">
        <v>570</v>
      </c>
      <c r="G159" s="49" t="s">
        <v>557</v>
      </c>
      <c r="H159" s="24" t="s">
        <v>563</v>
      </c>
      <c r="I159" s="7" t="s">
        <v>567</v>
      </c>
    </row>
    <row r="160" spans="1:9" ht="15.75" customHeight="1" x14ac:dyDescent="0.2">
      <c r="A160" s="38" t="s">
        <v>442</v>
      </c>
      <c r="B160" s="39" t="s">
        <v>571</v>
      </c>
      <c r="C160" s="40" t="s">
        <v>572</v>
      </c>
      <c r="D160" s="11" t="s">
        <v>13</v>
      </c>
      <c r="E160" s="41" t="s">
        <v>378</v>
      </c>
      <c r="F160" s="42" t="s">
        <v>379</v>
      </c>
      <c r="G160" s="43" t="s">
        <v>155</v>
      </c>
      <c r="H160" s="44" t="s">
        <v>573</v>
      </c>
      <c r="I160" s="7" t="s">
        <v>571</v>
      </c>
    </row>
    <row r="161" spans="1:9" ht="15.75" customHeight="1" x14ac:dyDescent="0.2">
      <c r="A161" s="38" t="s">
        <v>442</v>
      </c>
      <c r="B161" s="45" t="s">
        <v>574</v>
      </c>
      <c r="C161" s="46" t="s">
        <v>575</v>
      </c>
      <c r="D161" s="11" t="s">
        <v>13</v>
      </c>
      <c r="E161" s="47" t="s">
        <v>382</v>
      </c>
      <c r="F161" s="48" t="s">
        <v>383</v>
      </c>
      <c r="G161" s="49" t="s">
        <v>155</v>
      </c>
      <c r="H161" s="50" t="s">
        <v>573</v>
      </c>
      <c r="I161" s="7" t="s">
        <v>574</v>
      </c>
    </row>
    <row r="162" spans="1:9" ht="15.75" customHeight="1" x14ac:dyDescent="0.2">
      <c r="A162" s="38" t="s">
        <v>442</v>
      </c>
      <c r="B162" s="39" t="s">
        <v>576</v>
      </c>
      <c r="C162" s="40" t="s">
        <v>577</v>
      </c>
      <c r="D162" s="11" t="s">
        <v>13</v>
      </c>
      <c r="E162" s="41" t="s">
        <v>578</v>
      </c>
      <c r="F162" s="42" t="s">
        <v>579</v>
      </c>
      <c r="G162" s="43" t="s">
        <v>442</v>
      </c>
      <c r="H162" s="44" t="s">
        <v>580</v>
      </c>
      <c r="I162" s="7" t="s">
        <v>576</v>
      </c>
    </row>
    <row r="163" spans="1:9" ht="15.75" customHeight="1" x14ac:dyDescent="0.2">
      <c r="A163" s="38" t="s">
        <v>442</v>
      </c>
      <c r="B163" s="45" t="s">
        <v>581</v>
      </c>
      <c r="C163" s="46" t="s">
        <v>582</v>
      </c>
      <c r="D163" s="23" t="s">
        <v>120</v>
      </c>
      <c r="E163" s="47" t="s">
        <v>583</v>
      </c>
      <c r="F163" s="48" t="s">
        <v>584</v>
      </c>
      <c r="G163" s="49" t="s">
        <v>155</v>
      </c>
      <c r="H163" s="24" t="s">
        <v>491</v>
      </c>
      <c r="I163" s="7" t="s">
        <v>581</v>
      </c>
    </row>
    <row r="164" spans="1:9" ht="15.75" customHeight="1" x14ac:dyDescent="0.2">
      <c r="A164" s="38" t="s">
        <v>442</v>
      </c>
      <c r="B164" s="39" t="s">
        <v>585</v>
      </c>
      <c r="C164" s="40" t="s">
        <v>586</v>
      </c>
      <c r="D164" s="23" t="s">
        <v>120</v>
      </c>
      <c r="E164" s="41" t="s">
        <v>587</v>
      </c>
      <c r="F164" s="42" t="s">
        <v>588</v>
      </c>
      <c r="G164" s="43" t="s">
        <v>557</v>
      </c>
      <c r="H164" s="24" t="s">
        <v>563</v>
      </c>
      <c r="I164" s="7" t="s">
        <v>585</v>
      </c>
    </row>
    <row r="165" spans="1:9" ht="21.75" customHeight="1" x14ac:dyDescent="0.2">
      <c r="A165" s="171" t="s">
        <v>589</v>
      </c>
      <c r="B165" s="171"/>
      <c r="C165" s="171"/>
      <c r="D165" s="171"/>
      <c r="E165" s="171"/>
      <c r="F165" s="171"/>
      <c r="G165" s="171"/>
      <c r="H165" s="171"/>
      <c r="I165" s="7"/>
    </row>
    <row r="166" spans="1:9" ht="15.75" customHeight="1" x14ac:dyDescent="0.2">
      <c r="A166" s="51" t="s">
        <v>155</v>
      </c>
      <c r="B166" s="52" t="s">
        <v>590</v>
      </c>
      <c r="C166" s="53" t="s">
        <v>591</v>
      </c>
      <c r="D166" s="23" t="s">
        <v>120</v>
      </c>
      <c r="E166" s="54" t="s">
        <v>592</v>
      </c>
      <c r="F166" s="55" t="s">
        <v>591</v>
      </c>
      <c r="G166" s="56" t="s">
        <v>155</v>
      </c>
      <c r="H166" s="24" t="s">
        <v>593</v>
      </c>
      <c r="I166" s="7" t="s">
        <v>590</v>
      </c>
    </row>
    <row r="167" spans="1:9" ht="15.75" customHeight="1" x14ac:dyDescent="0.2">
      <c r="A167" s="51" t="s">
        <v>155</v>
      </c>
      <c r="B167" s="57" t="s">
        <v>594</v>
      </c>
      <c r="C167" s="58" t="s">
        <v>595</v>
      </c>
      <c r="D167" s="11" t="s">
        <v>13</v>
      </c>
      <c r="E167" s="59" t="s">
        <v>596</v>
      </c>
      <c r="F167" s="60" t="s">
        <v>597</v>
      </c>
      <c r="G167" s="61" t="s">
        <v>155</v>
      </c>
      <c r="H167" s="62" t="s">
        <v>598</v>
      </c>
      <c r="I167" s="7" t="s">
        <v>594</v>
      </c>
    </row>
    <row r="168" spans="1:9" ht="15.75" customHeight="1" x14ac:dyDescent="0.2">
      <c r="A168" s="51" t="s">
        <v>155</v>
      </c>
      <c r="B168" s="52" t="s">
        <v>599</v>
      </c>
      <c r="C168" s="53" t="s">
        <v>600</v>
      </c>
      <c r="D168" s="11" t="s">
        <v>13</v>
      </c>
      <c r="E168" s="54" t="s">
        <v>601</v>
      </c>
      <c r="F168" s="55" t="s">
        <v>602</v>
      </c>
      <c r="G168" s="56" t="s">
        <v>155</v>
      </c>
      <c r="H168" s="63" t="s">
        <v>16</v>
      </c>
      <c r="I168" s="7" t="s">
        <v>599</v>
      </c>
    </row>
    <row r="169" spans="1:9" ht="15.75" customHeight="1" x14ac:dyDescent="0.2">
      <c r="A169" s="51" t="s">
        <v>155</v>
      </c>
      <c r="B169" s="57" t="s">
        <v>603</v>
      </c>
      <c r="C169" s="58" t="s">
        <v>604</v>
      </c>
      <c r="D169" s="11" t="s">
        <v>13</v>
      </c>
      <c r="E169" s="59" t="s">
        <v>605</v>
      </c>
      <c r="F169" s="60" t="s">
        <v>606</v>
      </c>
      <c r="G169" s="61" t="s">
        <v>155</v>
      </c>
      <c r="H169" s="62" t="s">
        <v>16</v>
      </c>
      <c r="I169" s="7" t="s">
        <v>603</v>
      </c>
    </row>
    <row r="170" spans="1:9" ht="15.75" customHeight="1" x14ac:dyDescent="0.2">
      <c r="A170" s="51" t="s">
        <v>155</v>
      </c>
      <c r="B170" s="52" t="s">
        <v>607</v>
      </c>
      <c r="C170" s="53" t="s">
        <v>608</v>
      </c>
      <c r="D170" s="11" t="s">
        <v>13</v>
      </c>
      <c r="E170" s="54" t="s">
        <v>592</v>
      </c>
      <c r="F170" s="55" t="s">
        <v>591</v>
      </c>
      <c r="G170" s="56" t="s">
        <v>155</v>
      </c>
      <c r="H170" s="63" t="s">
        <v>609</v>
      </c>
      <c r="I170" s="7" t="s">
        <v>607</v>
      </c>
    </row>
    <row r="171" spans="1:9" ht="15.75" customHeight="1" x14ac:dyDescent="0.2">
      <c r="A171" s="51" t="s">
        <v>155</v>
      </c>
      <c r="B171" s="57" t="s">
        <v>610</v>
      </c>
      <c r="C171" s="58" t="s">
        <v>611</v>
      </c>
      <c r="D171" s="23" t="s">
        <v>120</v>
      </c>
      <c r="E171" s="59" t="s">
        <v>612</v>
      </c>
      <c r="F171" s="60" t="s">
        <v>613</v>
      </c>
      <c r="G171" s="61" t="s">
        <v>155</v>
      </c>
      <c r="H171" s="24" t="s">
        <v>614</v>
      </c>
      <c r="I171" s="7" t="s">
        <v>610</v>
      </c>
    </row>
    <row r="172" spans="1:9" ht="15.75" customHeight="1" x14ac:dyDescent="0.2">
      <c r="A172" s="51" t="s">
        <v>155</v>
      </c>
      <c r="B172" s="52" t="s">
        <v>615</v>
      </c>
      <c r="C172" s="53" t="s">
        <v>616</v>
      </c>
      <c r="D172" s="11" t="s">
        <v>13</v>
      </c>
      <c r="E172" s="54" t="s">
        <v>617</v>
      </c>
      <c r="F172" s="55" t="s">
        <v>618</v>
      </c>
      <c r="G172" s="56" t="s">
        <v>155</v>
      </c>
      <c r="H172" s="63" t="s">
        <v>16</v>
      </c>
      <c r="I172" s="7" t="s">
        <v>615</v>
      </c>
    </row>
    <row r="173" spans="1:9" ht="15.75" customHeight="1" x14ac:dyDescent="0.2">
      <c r="A173" s="51" t="s">
        <v>155</v>
      </c>
      <c r="B173" s="57" t="s">
        <v>619</v>
      </c>
      <c r="C173" s="58" t="s">
        <v>620</v>
      </c>
      <c r="D173" s="11" t="s">
        <v>13</v>
      </c>
      <c r="E173" s="59" t="s">
        <v>621</v>
      </c>
      <c r="F173" s="60" t="s">
        <v>622</v>
      </c>
      <c r="G173" s="61" t="s">
        <v>155</v>
      </c>
      <c r="H173" s="62" t="s">
        <v>16</v>
      </c>
      <c r="I173" s="7" t="s">
        <v>619</v>
      </c>
    </row>
    <row r="174" spans="1:9" ht="15.75" customHeight="1" x14ac:dyDescent="0.2">
      <c r="A174" s="51" t="s">
        <v>155</v>
      </c>
      <c r="B174" s="52" t="s">
        <v>623</v>
      </c>
      <c r="C174" s="53" t="s">
        <v>624</v>
      </c>
      <c r="D174" s="23" t="s">
        <v>120</v>
      </c>
      <c r="E174" s="54" t="s">
        <v>625</v>
      </c>
      <c r="F174" s="55" t="s">
        <v>626</v>
      </c>
      <c r="G174" s="56" t="s">
        <v>155</v>
      </c>
      <c r="H174" s="24" t="s">
        <v>627</v>
      </c>
      <c r="I174" s="7" t="s">
        <v>623</v>
      </c>
    </row>
    <row r="175" spans="1:9" ht="15.75" customHeight="1" x14ac:dyDescent="0.2">
      <c r="A175" s="51" t="s">
        <v>155</v>
      </c>
      <c r="B175" s="57" t="s">
        <v>628</v>
      </c>
      <c r="C175" s="58" t="s">
        <v>629</v>
      </c>
      <c r="D175" s="11" t="s">
        <v>13</v>
      </c>
      <c r="E175" s="59" t="s">
        <v>630</v>
      </c>
      <c r="F175" s="60" t="s">
        <v>631</v>
      </c>
      <c r="G175" s="61" t="s">
        <v>155</v>
      </c>
      <c r="H175" s="62" t="s">
        <v>16</v>
      </c>
      <c r="I175" s="7" t="s">
        <v>628</v>
      </c>
    </row>
    <row r="176" spans="1:9" ht="15.75" customHeight="1" x14ac:dyDescent="0.2">
      <c r="A176" s="51" t="s">
        <v>155</v>
      </c>
      <c r="B176" s="52" t="s">
        <v>632</v>
      </c>
      <c r="C176" s="53" t="s">
        <v>633</v>
      </c>
      <c r="D176" s="11" t="s">
        <v>13</v>
      </c>
      <c r="E176" s="54" t="s">
        <v>634</v>
      </c>
      <c r="F176" s="55" t="s">
        <v>635</v>
      </c>
      <c r="G176" s="56" t="s">
        <v>155</v>
      </c>
      <c r="H176" s="63" t="s">
        <v>16</v>
      </c>
      <c r="I176" s="7" t="s">
        <v>632</v>
      </c>
    </row>
    <row r="177" spans="1:9" ht="15.75" customHeight="1" x14ac:dyDescent="0.2">
      <c r="A177" s="51" t="s">
        <v>155</v>
      </c>
      <c r="B177" s="57" t="s">
        <v>636</v>
      </c>
      <c r="C177" s="58" t="s">
        <v>637</v>
      </c>
      <c r="D177" s="11" t="s">
        <v>13</v>
      </c>
      <c r="E177" s="59" t="s">
        <v>638</v>
      </c>
      <c r="F177" s="60" t="s">
        <v>639</v>
      </c>
      <c r="G177" s="61" t="s">
        <v>155</v>
      </c>
      <c r="H177" s="62" t="s">
        <v>16</v>
      </c>
      <c r="I177" s="7" t="s">
        <v>636</v>
      </c>
    </row>
    <row r="178" spans="1:9" ht="15.75" customHeight="1" x14ac:dyDescent="0.2">
      <c r="A178" s="51" t="s">
        <v>155</v>
      </c>
      <c r="B178" s="52" t="s">
        <v>640</v>
      </c>
      <c r="C178" s="53" t="s">
        <v>641</v>
      </c>
      <c r="D178" s="23" t="s">
        <v>120</v>
      </c>
      <c r="E178" s="54" t="s">
        <v>642</v>
      </c>
      <c r="F178" s="55" t="s">
        <v>643</v>
      </c>
      <c r="G178" s="56" t="s">
        <v>155</v>
      </c>
      <c r="H178" s="24" t="s">
        <v>644</v>
      </c>
      <c r="I178" s="7" t="s">
        <v>640</v>
      </c>
    </row>
    <row r="179" spans="1:9" ht="15.75" customHeight="1" x14ac:dyDescent="0.2">
      <c r="A179" s="51" t="s">
        <v>155</v>
      </c>
      <c r="B179" s="57" t="s">
        <v>645</v>
      </c>
      <c r="C179" s="58" t="s">
        <v>646</v>
      </c>
      <c r="D179" s="11" t="s">
        <v>13</v>
      </c>
      <c r="E179" s="59" t="s">
        <v>647</v>
      </c>
      <c r="F179" s="60" t="s">
        <v>648</v>
      </c>
      <c r="G179" s="61" t="s">
        <v>155</v>
      </c>
      <c r="H179" s="62" t="s">
        <v>16</v>
      </c>
      <c r="I179" s="7" t="s">
        <v>645</v>
      </c>
    </row>
    <row r="180" spans="1:9" ht="15.75" customHeight="1" x14ac:dyDescent="0.2">
      <c r="A180" s="51" t="s">
        <v>155</v>
      </c>
      <c r="B180" s="52" t="s">
        <v>649</v>
      </c>
      <c r="C180" s="53" t="s">
        <v>650</v>
      </c>
      <c r="D180" s="11" t="s">
        <v>13</v>
      </c>
      <c r="E180" s="54" t="s">
        <v>647</v>
      </c>
      <c r="F180" s="55" t="s">
        <v>648</v>
      </c>
      <c r="G180" s="56" t="s">
        <v>155</v>
      </c>
      <c r="H180" s="63" t="s">
        <v>16</v>
      </c>
      <c r="I180" s="7" t="s">
        <v>649</v>
      </c>
    </row>
    <row r="181" spans="1:9" ht="15.75" customHeight="1" x14ac:dyDescent="0.2">
      <c r="A181" s="51" t="s">
        <v>155</v>
      </c>
      <c r="B181" s="57" t="s">
        <v>651</v>
      </c>
      <c r="C181" s="58" t="s">
        <v>652</v>
      </c>
      <c r="D181" s="11" t="s">
        <v>13</v>
      </c>
      <c r="E181" s="59" t="s">
        <v>653</v>
      </c>
      <c r="F181" s="60" t="s">
        <v>654</v>
      </c>
      <c r="G181" s="61" t="s">
        <v>155</v>
      </c>
      <c r="H181" s="62" t="s">
        <v>16</v>
      </c>
      <c r="I181" s="7" t="s">
        <v>651</v>
      </c>
    </row>
    <row r="182" spans="1:9" ht="15.75" customHeight="1" x14ac:dyDescent="0.2">
      <c r="A182" s="51" t="s">
        <v>155</v>
      </c>
      <c r="B182" s="52" t="s">
        <v>655</v>
      </c>
      <c r="C182" s="53" t="s">
        <v>656</v>
      </c>
      <c r="D182" s="23" t="s">
        <v>120</v>
      </c>
      <c r="E182" s="54" t="s">
        <v>657</v>
      </c>
      <c r="F182" s="55" t="s">
        <v>658</v>
      </c>
      <c r="G182" s="56" t="s">
        <v>155</v>
      </c>
      <c r="H182" s="24" t="s">
        <v>659</v>
      </c>
      <c r="I182" s="7" t="s">
        <v>655</v>
      </c>
    </row>
    <row r="183" spans="1:9" ht="15.75" customHeight="1" x14ac:dyDescent="0.2">
      <c r="A183" s="51" t="s">
        <v>155</v>
      </c>
      <c r="B183" s="57" t="s">
        <v>660</v>
      </c>
      <c r="C183" s="58" t="s">
        <v>661</v>
      </c>
      <c r="D183" s="23" t="s">
        <v>120</v>
      </c>
      <c r="E183" s="59" t="s">
        <v>662</v>
      </c>
      <c r="F183" s="60" t="s">
        <v>663</v>
      </c>
      <c r="G183" s="61" t="s">
        <v>155</v>
      </c>
      <c r="H183" s="24" t="s">
        <v>664</v>
      </c>
      <c r="I183" s="7" t="s">
        <v>660</v>
      </c>
    </row>
    <row r="184" spans="1:9" ht="15.75" customHeight="1" x14ac:dyDescent="0.2">
      <c r="A184" s="51" t="s">
        <v>155</v>
      </c>
      <c r="B184" s="52" t="s">
        <v>665</v>
      </c>
      <c r="C184" s="53" t="s">
        <v>666</v>
      </c>
      <c r="D184" s="22" t="s">
        <v>24</v>
      </c>
      <c r="E184" s="54" t="s">
        <v>610</v>
      </c>
      <c r="F184" s="55" t="s">
        <v>667</v>
      </c>
      <c r="G184" s="56" t="s">
        <v>155</v>
      </c>
      <c r="H184" s="63" t="s">
        <v>668</v>
      </c>
      <c r="I184" s="7" t="s">
        <v>665</v>
      </c>
    </row>
    <row r="185" spans="1:9" ht="15.75" customHeight="1" x14ac:dyDescent="0.2">
      <c r="A185" s="51" t="s">
        <v>155</v>
      </c>
      <c r="B185" s="57" t="s">
        <v>669</v>
      </c>
      <c r="C185" s="58" t="s">
        <v>670</v>
      </c>
      <c r="D185" s="11" t="s">
        <v>13</v>
      </c>
      <c r="E185" s="59" t="s">
        <v>529</v>
      </c>
      <c r="F185" s="60" t="s">
        <v>530</v>
      </c>
      <c r="G185" s="61" t="s">
        <v>155</v>
      </c>
      <c r="H185" s="62" t="s">
        <v>16</v>
      </c>
      <c r="I185" s="7" t="s">
        <v>669</v>
      </c>
    </row>
    <row r="186" spans="1:9" ht="15.75" customHeight="1" x14ac:dyDescent="0.2">
      <c r="A186" s="51" t="s">
        <v>155</v>
      </c>
      <c r="B186" s="52" t="s">
        <v>671</v>
      </c>
      <c r="C186" s="53" t="s">
        <v>672</v>
      </c>
      <c r="D186" s="11" t="s">
        <v>13</v>
      </c>
      <c r="E186" s="54" t="s">
        <v>673</v>
      </c>
      <c r="F186" s="55" t="s">
        <v>674</v>
      </c>
      <c r="G186" s="56" t="s">
        <v>155</v>
      </c>
      <c r="H186" s="63" t="s">
        <v>16</v>
      </c>
      <c r="I186" s="7" t="s">
        <v>671</v>
      </c>
    </row>
    <row r="187" spans="1:9" ht="15.75" customHeight="1" x14ac:dyDescent="0.2">
      <c r="A187" s="51" t="s">
        <v>155</v>
      </c>
      <c r="B187" s="57" t="s">
        <v>675</v>
      </c>
      <c r="C187" s="58" t="s">
        <v>676</v>
      </c>
      <c r="D187" s="11" t="s">
        <v>13</v>
      </c>
      <c r="E187" s="59" t="s">
        <v>677</v>
      </c>
      <c r="F187" s="60" t="s">
        <v>678</v>
      </c>
      <c r="G187" s="61" t="s">
        <v>155</v>
      </c>
      <c r="H187" s="62" t="s">
        <v>16</v>
      </c>
      <c r="I187" s="7" t="s">
        <v>675</v>
      </c>
    </row>
    <row r="188" spans="1:9" ht="15.75" customHeight="1" x14ac:dyDescent="0.2">
      <c r="A188" s="51" t="s">
        <v>155</v>
      </c>
      <c r="B188" s="52" t="s">
        <v>679</v>
      </c>
      <c r="C188" s="53" t="s">
        <v>680</v>
      </c>
      <c r="D188" s="11" t="s">
        <v>13</v>
      </c>
      <c r="E188" s="54" t="s">
        <v>681</v>
      </c>
      <c r="F188" s="55" t="s">
        <v>682</v>
      </c>
      <c r="G188" s="56" t="s">
        <v>155</v>
      </c>
      <c r="H188" s="63" t="s">
        <v>16</v>
      </c>
      <c r="I188" s="7" t="s">
        <v>679</v>
      </c>
    </row>
    <row r="189" spans="1:9" ht="15.75" customHeight="1" x14ac:dyDescent="0.2">
      <c r="A189" s="51" t="s">
        <v>155</v>
      </c>
      <c r="B189" s="57" t="s">
        <v>683</v>
      </c>
      <c r="C189" s="58" t="s">
        <v>684</v>
      </c>
      <c r="D189" s="11" t="s">
        <v>13</v>
      </c>
      <c r="E189" s="59" t="s">
        <v>685</v>
      </c>
      <c r="F189" s="60" t="s">
        <v>686</v>
      </c>
      <c r="G189" s="61" t="s">
        <v>155</v>
      </c>
      <c r="H189" s="62" t="s">
        <v>16</v>
      </c>
      <c r="I189" s="7" t="s">
        <v>683</v>
      </c>
    </row>
    <row r="190" spans="1:9" ht="15.75" customHeight="1" x14ac:dyDescent="0.2">
      <c r="A190" s="51" t="s">
        <v>155</v>
      </c>
      <c r="B190" s="52" t="s">
        <v>687</v>
      </c>
      <c r="C190" s="53" t="s">
        <v>688</v>
      </c>
      <c r="D190" s="11" t="s">
        <v>13</v>
      </c>
      <c r="E190" s="54" t="s">
        <v>689</v>
      </c>
      <c r="F190" s="55" t="s">
        <v>690</v>
      </c>
      <c r="G190" s="56" t="s">
        <v>155</v>
      </c>
      <c r="H190" s="63" t="s">
        <v>16</v>
      </c>
      <c r="I190" s="7" t="s">
        <v>687</v>
      </c>
    </row>
    <row r="191" spans="1:9" ht="15.75" customHeight="1" x14ac:dyDescent="0.2">
      <c r="A191" s="51" t="s">
        <v>155</v>
      </c>
      <c r="B191" s="57" t="s">
        <v>691</v>
      </c>
      <c r="C191" s="58" t="s">
        <v>692</v>
      </c>
      <c r="D191" s="11" t="s">
        <v>13</v>
      </c>
      <c r="E191" s="59" t="s">
        <v>148</v>
      </c>
      <c r="F191" s="60" t="s">
        <v>149</v>
      </c>
      <c r="G191" s="61" t="s">
        <v>155</v>
      </c>
      <c r="H191" s="62" t="s">
        <v>16</v>
      </c>
      <c r="I191" s="7" t="s">
        <v>691</v>
      </c>
    </row>
    <row r="192" spans="1:9" ht="15.75" customHeight="1" x14ac:dyDescent="0.2">
      <c r="A192" s="51" t="s">
        <v>155</v>
      </c>
      <c r="B192" s="52" t="s">
        <v>693</v>
      </c>
      <c r="C192" s="53" t="s">
        <v>694</v>
      </c>
      <c r="D192" s="11" t="s">
        <v>13</v>
      </c>
      <c r="E192" s="54" t="s">
        <v>695</v>
      </c>
      <c r="F192" s="55" t="s">
        <v>696</v>
      </c>
      <c r="G192" s="56" t="s">
        <v>155</v>
      </c>
      <c r="H192" s="63" t="s">
        <v>16</v>
      </c>
      <c r="I192" s="7" t="s">
        <v>693</v>
      </c>
    </row>
    <row r="193" spans="1:9" ht="15.75" customHeight="1" x14ac:dyDescent="0.2">
      <c r="A193" s="51" t="s">
        <v>155</v>
      </c>
      <c r="B193" s="57" t="s">
        <v>697</v>
      </c>
      <c r="C193" s="58" t="s">
        <v>698</v>
      </c>
      <c r="D193" s="11" t="s">
        <v>13</v>
      </c>
      <c r="E193" s="59" t="s">
        <v>699</v>
      </c>
      <c r="F193" s="60" t="s">
        <v>700</v>
      </c>
      <c r="G193" s="61" t="s">
        <v>155</v>
      </c>
      <c r="H193" s="62" t="s">
        <v>16</v>
      </c>
      <c r="I193" s="7" t="s">
        <v>697</v>
      </c>
    </row>
    <row r="194" spans="1:9" ht="15.75" customHeight="1" x14ac:dyDescent="0.2">
      <c r="A194" s="51" t="s">
        <v>155</v>
      </c>
      <c r="B194" s="52" t="s">
        <v>701</v>
      </c>
      <c r="C194" s="53" t="s">
        <v>702</v>
      </c>
      <c r="D194" s="23" t="s">
        <v>120</v>
      </c>
      <c r="E194" s="54" t="s">
        <v>153</v>
      </c>
      <c r="F194" s="55" t="s">
        <v>154</v>
      </c>
      <c r="G194" s="56" t="s">
        <v>155</v>
      </c>
      <c r="H194" s="24" t="s">
        <v>703</v>
      </c>
      <c r="I194" s="7" t="s">
        <v>701</v>
      </c>
    </row>
    <row r="195" spans="1:9" ht="15.75" customHeight="1" x14ac:dyDescent="0.2">
      <c r="A195" s="51" t="s">
        <v>155</v>
      </c>
      <c r="B195" s="57" t="s">
        <v>704</v>
      </c>
      <c r="C195" s="58" t="s">
        <v>705</v>
      </c>
      <c r="D195" s="11" t="s">
        <v>13</v>
      </c>
      <c r="E195" s="59" t="s">
        <v>706</v>
      </c>
      <c r="F195" s="60" t="s">
        <v>707</v>
      </c>
      <c r="G195" s="61" t="s">
        <v>155</v>
      </c>
      <c r="H195" s="62" t="s">
        <v>16</v>
      </c>
      <c r="I195" s="7" t="s">
        <v>704</v>
      </c>
    </row>
    <row r="196" spans="1:9" ht="15.75" customHeight="1" x14ac:dyDescent="0.2">
      <c r="A196" s="51" t="s">
        <v>155</v>
      </c>
      <c r="B196" s="52" t="s">
        <v>708</v>
      </c>
      <c r="C196" s="53" t="s">
        <v>709</v>
      </c>
      <c r="D196" s="11" t="s">
        <v>13</v>
      </c>
      <c r="E196" s="54" t="s">
        <v>710</v>
      </c>
      <c r="F196" s="55" t="s">
        <v>709</v>
      </c>
      <c r="G196" s="56" t="s">
        <v>155</v>
      </c>
      <c r="H196" s="63" t="s">
        <v>16</v>
      </c>
      <c r="I196" s="7" t="s">
        <v>708</v>
      </c>
    </row>
    <row r="197" spans="1:9" ht="15.75" customHeight="1" x14ac:dyDescent="0.2">
      <c r="A197" s="51" t="s">
        <v>155</v>
      </c>
      <c r="B197" s="57" t="s">
        <v>711</v>
      </c>
      <c r="C197" s="58" t="s">
        <v>712</v>
      </c>
      <c r="D197" s="11" t="s">
        <v>13</v>
      </c>
      <c r="E197" s="59" t="s">
        <v>713</v>
      </c>
      <c r="F197" s="60" t="s">
        <v>714</v>
      </c>
      <c r="G197" s="61" t="s">
        <v>715</v>
      </c>
      <c r="H197" s="62" t="s">
        <v>716</v>
      </c>
      <c r="I197" s="7" t="s">
        <v>711</v>
      </c>
    </row>
    <row r="198" spans="1:9" ht="15.75" customHeight="1" x14ac:dyDescent="0.2">
      <c r="A198" s="51" t="s">
        <v>155</v>
      </c>
      <c r="B198" s="52" t="s">
        <v>717</v>
      </c>
      <c r="C198" s="53" t="s">
        <v>718</v>
      </c>
      <c r="D198" s="11" t="s">
        <v>13</v>
      </c>
      <c r="E198" s="54" t="s">
        <v>551</v>
      </c>
      <c r="F198" s="55" t="s">
        <v>552</v>
      </c>
      <c r="G198" s="56" t="s">
        <v>155</v>
      </c>
      <c r="H198" s="63" t="s">
        <v>16</v>
      </c>
      <c r="I198" s="7" t="s">
        <v>717</v>
      </c>
    </row>
    <row r="199" spans="1:9" ht="15.75" customHeight="1" x14ac:dyDescent="0.2">
      <c r="A199" s="51" t="s">
        <v>155</v>
      </c>
      <c r="B199" s="57" t="s">
        <v>719</v>
      </c>
      <c r="C199" s="58" t="s">
        <v>720</v>
      </c>
      <c r="D199" s="23" t="s">
        <v>120</v>
      </c>
      <c r="E199" s="59" t="s">
        <v>164</v>
      </c>
      <c r="F199" s="60" t="s">
        <v>165</v>
      </c>
      <c r="G199" s="61" t="s">
        <v>10</v>
      </c>
      <c r="H199" s="24" t="s">
        <v>721</v>
      </c>
      <c r="I199" s="7" t="s">
        <v>719</v>
      </c>
    </row>
    <row r="200" spans="1:9" ht="15.75" customHeight="1" x14ac:dyDescent="0.2">
      <c r="A200" s="51" t="s">
        <v>155</v>
      </c>
      <c r="B200" s="52" t="s">
        <v>722</v>
      </c>
      <c r="C200" s="53" t="s">
        <v>167</v>
      </c>
      <c r="D200" s="23" t="s">
        <v>120</v>
      </c>
      <c r="E200" s="54" t="s">
        <v>166</v>
      </c>
      <c r="F200" s="55" t="s">
        <v>167</v>
      </c>
      <c r="G200" s="56" t="s">
        <v>10</v>
      </c>
      <c r="H200" s="24" t="s">
        <v>723</v>
      </c>
      <c r="I200" s="7" t="s">
        <v>722</v>
      </c>
    </row>
    <row r="201" spans="1:9" ht="15.75" customHeight="1" x14ac:dyDescent="0.2">
      <c r="A201" s="51" t="s">
        <v>155</v>
      </c>
      <c r="B201" s="57" t="s">
        <v>724</v>
      </c>
      <c r="C201" s="58" t="s">
        <v>725</v>
      </c>
      <c r="D201" s="23" t="s">
        <v>120</v>
      </c>
      <c r="E201" s="59" t="s">
        <v>173</v>
      </c>
      <c r="F201" s="60" t="s">
        <v>179</v>
      </c>
      <c r="G201" s="61" t="s">
        <v>10</v>
      </c>
      <c r="H201" s="24" t="s">
        <v>723</v>
      </c>
      <c r="I201" s="7" t="s">
        <v>724</v>
      </c>
    </row>
    <row r="202" spans="1:9" ht="15.75" customHeight="1" x14ac:dyDescent="0.2">
      <c r="A202" s="51" t="s">
        <v>155</v>
      </c>
      <c r="B202" s="52" t="s">
        <v>726</v>
      </c>
      <c r="C202" s="53" t="s">
        <v>180</v>
      </c>
      <c r="D202" s="23" t="s">
        <v>120</v>
      </c>
      <c r="E202" s="54" t="s">
        <v>177</v>
      </c>
      <c r="F202" s="55" t="s">
        <v>180</v>
      </c>
      <c r="G202" s="56" t="s">
        <v>10</v>
      </c>
      <c r="H202" s="24" t="s">
        <v>723</v>
      </c>
      <c r="I202" s="7" t="s">
        <v>726</v>
      </c>
    </row>
    <row r="203" spans="1:9" ht="15.75" customHeight="1" x14ac:dyDescent="0.2">
      <c r="A203" s="51" t="s">
        <v>155</v>
      </c>
      <c r="B203" s="57" t="s">
        <v>727</v>
      </c>
      <c r="C203" s="58" t="s">
        <v>728</v>
      </c>
      <c r="D203" s="23" t="s">
        <v>120</v>
      </c>
      <c r="E203" s="59" t="s">
        <v>183</v>
      </c>
      <c r="F203" s="60" t="s">
        <v>182</v>
      </c>
      <c r="G203" s="61" t="s">
        <v>10</v>
      </c>
      <c r="H203" s="24" t="s">
        <v>723</v>
      </c>
      <c r="I203" s="7" t="s">
        <v>727</v>
      </c>
    </row>
    <row r="204" spans="1:9" ht="15.75" customHeight="1" x14ac:dyDescent="0.2">
      <c r="A204" s="51" t="s">
        <v>155</v>
      </c>
      <c r="B204" s="52" t="s">
        <v>729</v>
      </c>
      <c r="C204" s="53" t="s">
        <v>730</v>
      </c>
      <c r="D204" s="11" t="s">
        <v>13</v>
      </c>
      <c r="E204" s="54" t="s">
        <v>205</v>
      </c>
      <c r="F204" s="55" t="s">
        <v>206</v>
      </c>
      <c r="G204" s="56" t="s">
        <v>155</v>
      </c>
      <c r="H204" s="63" t="s">
        <v>16</v>
      </c>
      <c r="I204" s="7" t="s">
        <v>729</v>
      </c>
    </row>
    <row r="205" spans="1:9" ht="15.75" customHeight="1" x14ac:dyDescent="0.2">
      <c r="A205" s="51" t="s">
        <v>155</v>
      </c>
      <c r="B205" s="57" t="s">
        <v>731</v>
      </c>
      <c r="C205" s="58" t="s">
        <v>732</v>
      </c>
      <c r="D205" s="11" t="s">
        <v>13</v>
      </c>
      <c r="E205" s="59" t="s">
        <v>210</v>
      </c>
      <c r="F205" s="60" t="s">
        <v>211</v>
      </c>
      <c r="G205" s="61" t="s">
        <v>155</v>
      </c>
      <c r="H205" s="62" t="s">
        <v>16</v>
      </c>
      <c r="I205" s="7" t="s">
        <v>731</v>
      </c>
    </row>
    <row r="206" spans="1:9" ht="21.75" customHeight="1" x14ac:dyDescent="0.2">
      <c r="A206" s="172" t="s">
        <v>733</v>
      </c>
      <c r="B206" s="172"/>
      <c r="C206" s="172"/>
      <c r="D206" s="172"/>
      <c r="E206" s="172"/>
      <c r="F206" s="172"/>
      <c r="G206" s="172"/>
      <c r="H206" s="172"/>
      <c r="I206" s="7"/>
    </row>
    <row r="207" spans="1:9" ht="15.75" customHeight="1" x14ac:dyDescent="0.2">
      <c r="A207" s="64" t="s">
        <v>557</v>
      </c>
      <c r="B207" s="65" t="s">
        <v>734</v>
      </c>
      <c r="C207" s="66" t="s">
        <v>735</v>
      </c>
      <c r="D207" s="11" t="s">
        <v>13</v>
      </c>
      <c r="E207" s="67" t="s">
        <v>734</v>
      </c>
      <c r="F207" s="68" t="s">
        <v>736</v>
      </c>
      <c r="G207" s="69" t="s">
        <v>557</v>
      </c>
      <c r="H207" s="70" t="s">
        <v>16</v>
      </c>
      <c r="I207" s="7" t="s">
        <v>734</v>
      </c>
    </row>
    <row r="208" spans="1:9" ht="15.75" customHeight="1" x14ac:dyDescent="0.2">
      <c r="A208" s="64" t="s">
        <v>557</v>
      </c>
      <c r="B208" s="71" t="s">
        <v>737</v>
      </c>
      <c r="C208" s="72" t="s">
        <v>738</v>
      </c>
      <c r="D208" s="11" t="s">
        <v>13</v>
      </c>
      <c r="E208" s="73" t="s">
        <v>739</v>
      </c>
      <c r="F208" s="74" t="s">
        <v>738</v>
      </c>
      <c r="G208" s="75" t="s">
        <v>557</v>
      </c>
      <c r="H208" s="76" t="s">
        <v>16</v>
      </c>
      <c r="I208" s="7" t="s">
        <v>737</v>
      </c>
    </row>
    <row r="209" spans="1:9" ht="15.75" customHeight="1" x14ac:dyDescent="0.2">
      <c r="A209" s="64" t="s">
        <v>557</v>
      </c>
      <c r="B209" s="65" t="s">
        <v>740</v>
      </c>
      <c r="C209" s="66" t="s">
        <v>741</v>
      </c>
      <c r="D209" s="11" t="s">
        <v>13</v>
      </c>
      <c r="E209" s="67" t="s">
        <v>740</v>
      </c>
      <c r="F209" s="68" t="s">
        <v>742</v>
      </c>
      <c r="G209" s="69" t="s">
        <v>557</v>
      </c>
      <c r="H209" s="70" t="s">
        <v>16</v>
      </c>
      <c r="I209" s="7" t="s">
        <v>740</v>
      </c>
    </row>
    <row r="210" spans="1:9" ht="15.75" customHeight="1" x14ac:dyDescent="0.2">
      <c r="A210" s="64" t="s">
        <v>557</v>
      </c>
      <c r="B210" s="71" t="s">
        <v>743</v>
      </c>
      <c r="C210" s="72" t="s">
        <v>744</v>
      </c>
      <c r="D210" s="11" t="s">
        <v>13</v>
      </c>
      <c r="E210" s="73" t="s">
        <v>745</v>
      </c>
      <c r="F210" s="74" t="s">
        <v>746</v>
      </c>
      <c r="G210" s="75" t="s">
        <v>557</v>
      </c>
      <c r="H210" s="24" t="s">
        <v>747</v>
      </c>
      <c r="I210" s="7" t="s">
        <v>743</v>
      </c>
    </row>
    <row r="211" spans="1:9" ht="15.75" customHeight="1" x14ac:dyDescent="0.2">
      <c r="A211" s="64" t="s">
        <v>557</v>
      </c>
      <c r="B211" s="65" t="s">
        <v>748</v>
      </c>
      <c r="C211" s="66" t="s">
        <v>749</v>
      </c>
      <c r="D211" s="11" t="s">
        <v>13</v>
      </c>
      <c r="E211" s="67" t="s">
        <v>750</v>
      </c>
      <c r="F211" s="68" t="s">
        <v>751</v>
      </c>
      <c r="G211" s="69" t="s">
        <v>557</v>
      </c>
      <c r="H211" s="70" t="s">
        <v>21</v>
      </c>
      <c r="I211" s="7" t="s">
        <v>748</v>
      </c>
    </row>
    <row r="212" spans="1:9" ht="15.75" customHeight="1" x14ac:dyDescent="0.2">
      <c r="A212" s="64" t="s">
        <v>557</v>
      </c>
      <c r="B212" s="71" t="s">
        <v>752</v>
      </c>
      <c r="C212" s="72" t="s">
        <v>753</v>
      </c>
      <c r="D212" s="22" t="s">
        <v>24</v>
      </c>
      <c r="E212" s="73" t="s">
        <v>754</v>
      </c>
      <c r="F212" s="74" t="s">
        <v>755</v>
      </c>
      <c r="G212" s="75" t="s">
        <v>557</v>
      </c>
      <c r="H212" s="76" t="s">
        <v>756</v>
      </c>
      <c r="I212" s="7" t="s">
        <v>752</v>
      </c>
    </row>
    <row r="213" spans="1:9" ht="15.75" customHeight="1" x14ac:dyDescent="0.2">
      <c r="A213" s="64" t="s">
        <v>557</v>
      </c>
      <c r="B213" s="65" t="s">
        <v>757</v>
      </c>
      <c r="C213" s="66" t="s">
        <v>758</v>
      </c>
      <c r="D213" s="23" t="s">
        <v>120</v>
      </c>
      <c r="E213" s="67" t="s">
        <v>759</v>
      </c>
      <c r="F213" s="68" t="s">
        <v>760</v>
      </c>
      <c r="G213" s="69" t="s">
        <v>557</v>
      </c>
      <c r="H213" s="24" t="s">
        <v>761</v>
      </c>
      <c r="I213" s="7" t="s">
        <v>757</v>
      </c>
    </row>
    <row r="214" spans="1:9" ht="15.75" customHeight="1" x14ac:dyDescent="0.2">
      <c r="A214" s="64" t="s">
        <v>557</v>
      </c>
      <c r="B214" s="71" t="s">
        <v>762</v>
      </c>
      <c r="C214" s="72" t="s">
        <v>763</v>
      </c>
      <c r="D214" s="11" t="s">
        <v>13</v>
      </c>
      <c r="E214" s="73" t="s">
        <v>750</v>
      </c>
      <c r="F214" s="74" t="s">
        <v>751</v>
      </c>
      <c r="G214" s="75" t="s">
        <v>557</v>
      </c>
      <c r="H214" s="76" t="s">
        <v>21</v>
      </c>
      <c r="I214" s="7" t="s">
        <v>762</v>
      </c>
    </row>
    <row r="215" spans="1:9" ht="15.75" customHeight="1" x14ac:dyDescent="0.2">
      <c r="A215" s="64" t="s">
        <v>557</v>
      </c>
      <c r="B215" s="65" t="s">
        <v>764</v>
      </c>
      <c r="C215" s="66" t="s">
        <v>765</v>
      </c>
      <c r="D215" s="11" t="s">
        <v>13</v>
      </c>
      <c r="E215" s="67" t="s">
        <v>766</v>
      </c>
      <c r="F215" s="68" t="s">
        <v>767</v>
      </c>
      <c r="G215" s="69" t="s">
        <v>557</v>
      </c>
      <c r="H215" s="70" t="s">
        <v>16</v>
      </c>
      <c r="I215" s="7" t="s">
        <v>764</v>
      </c>
    </row>
    <row r="216" spans="1:9" ht="15.75" customHeight="1" x14ac:dyDescent="0.2">
      <c r="A216" s="64" t="s">
        <v>557</v>
      </c>
      <c r="B216" s="71" t="s">
        <v>768</v>
      </c>
      <c r="C216" s="72" t="s">
        <v>769</v>
      </c>
      <c r="D216" s="11" t="s">
        <v>13</v>
      </c>
      <c r="E216" s="73" t="s">
        <v>770</v>
      </c>
      <c r="F216" s="74" t="s">
        <v>771</v>
      </c>
      <c r="G216" s="75" t="s">
        <v>557</v>
      </c>
      <c r="H216" s="76" t="s">
        <v>16</v>
      </c>
      <c r="I216" s="7" t="s">
        <v>768</v>
      </c>
    </row>
    <row r="217" spans="1:9" ht="15.75" customHeight="1" x14ac:dyDescent="0.2">
      <c r="A217" s="64" t="s">
        <v>557</v>
      </c>
      <c r="B217" s="65" t="s">
        <v>772</v>
      </c>
      <c r="C217" s="66" t="s">
        <v>773</v>
      </c>
      <c r="D217" s="23" t="s">
        <v>120</v>
      </c>
      <c r="E217" s="67" t="s">
        <v>770</v>
      </c>
      <c r="F217" s="68" t="s">
        <v>771</v>
      </c>
      <c r="G217" s="69" t="s">
        <v>557</v>
      </c>
      <c r="H217" s="24" t="s">
        <v>774</v>
      </c>
      <c r="I217" s="7" t="s">
        <v>772</v>
      </c>
    </row>
    <row r="218" spans="1:9" ht="15.75" customHeight="1" x14ac:dyDescent="0.2">
      <c r="A218" s="64" t="s">
        <v>557</v>
      </c>
      <c r="B218" s="71" t="s">
        <v>775</v>
      </c>
      <c r="C218" s="72" t="s">
        <v>776</v>
      </c>
      <c r="D218" s="11" t="s">
        <v>13</v>
      </c>
      <c r="E218" s="73" t="s">
        <v>775</v>
      </c>
      <c r="F218" s="74" t="s">
        <v>777</v>
      </c>
      <c r="G218" s="75" t="s">
        <v>557</v>
      </c>
      <c r="H218" s="76" t="s">
        <v>16</v>
      </c>
      <c r="I218" s="7" t="s">
        <v>775</v>
      </c>
    </row>
    <row r="219" spans="1:9" ht="21.75" customHeight="1" x14ac:dyDescent="0.2">
      <c r="A219" s="173" t="s">
        <v>778</v>
      </c>
      <c r="B219" s="173"/>
      <c r="C219" s="173"/>
      <c r="D219" s="173"/>
      <c r="E219" s="173"/>
      <c r="F219" s="173"/>
      <c r="G219" s="173"/>
      <c r="H219" s="173"/>
      <c r="I219" s="7"/>
    </row>
    <row r="220" spans="1:9" ht="15.75" customHeight="1" x14ac:dyDescent="0.2">
      <c r="A220" s="77" t="s">
        <v>392</v>
      </c>
      <c r="B220" s="78" t="s">
        <v>779</v>
      </c>
      <c r="C220" s="79" t="s">
        <v>780</v>
      </c>
      <c r="D220" s="11" t="s">
        <v>13</v>
      </c>
      <c r="E220" s="80" t="s">
        <v>781</v>
      </c>
      <c r="F220" s="81" t="s">
        <v>782</v>
      </c>
      <c r="G220" s="82" t="s">
        <v>392</v>
      </c>
      <c r="H220" s="83" t="s">
        <v>16</v>
      </c>
      <c r="I220" s="7" t="s">
        <v>779</v>
      </c>
    </row>
    <row r="221" spans="1:9" ht="15.75" customHeight="1" x14ac:dyDescent="0.2">
      <c r="A221" s="77" t="s">
        <v>392</v>
      </c>
      <c r="B221" s="84" t="s">
        <v>783</v>
      </c>
      <c r="C221" s="85" t="s">
        <v>784</v>
      </c>
      <c r="D221" s="11" t="s">
        <v>13</v>
      </c>
      <c r="E221" s="86" t="s">
        <v>785</v>
      </c>
      <c r="F221" s="87" t="s">
        <v>786</v>
      </c>
      <c r="G221" s="88" t="s">
        <v>392</v>
      </c>
      <c r="H221" s="89" t="s">
        <v>16</v>
      </c>
      <c r="I221" s="7" t="s">
        <v>783</v>
      </c>
    </row>
    <row r="222" spans="1:9" ht="15.75" customHeight="1" x14ac:dyDescent="0.2">
      <c r="A222" s="77" t="s">
        <v>392</v>
      </c>
      <c r="B222" s="78" t="s">
        <v>787</v>
      </c>
      <c r="C222" s="79" t="s">
        <v>788</v>
      </c>
      <c r="D222" s="11" t="s">
        <v>13</v>
      </c>
      <c r="E222" s="80" t="s">
        <v>789</v>
      </c>
      <c r="F222" s="81" t="s">
        <v>790</v>
      </c>
      <c r="G222" s="82" t="s">
        <v>392</v>
      </c>
      <c r="H222" s="83" t="s">
        <v>16</v>
      </c>
      <c r="I222" s="7" t="s">
        <v>787</v>
      </c>
    </row>
    <row r="223" spans="1:9" ht="15.75" customHeight="1" x14ac:dyDescent="0.2">
      <c r="A223" s="77" t="s">
        <v>392</v>
      </c>
      <c r="B223" s="84" t="s">
        <v>791</v>
      </c>
      <c r="C223" s="85" t="s">
        <v>792</v>
      </c>
      <c r="D223" s="11" t="s">
        <v>13</v>
      </c>
      <c r="E223" s="86" t="s">
        <v>793</v>
      </c>
      <c r="F223" s="87" t="s">
        <v>794</v>
      </c>
      <c r="G223" s="88" t="s">
        <v>392</v>
      </c>
      <c r="H223" s="89" t="s">
        <v>16</v>
      </c>
      <c r="I223" s="7" t="s">
        <v>791</v>
      </c>
    </row>
    <row r="224" spans="1:9" ht="15.75" customHeight="1" x14ac:dyDescent="0.2">
      <c r="A224" s="77" t="s">
        <v>392</v>
      </c>
      <c r="B224" s="78" t="s">
        <v>795</v>
      </c>
      <c r="C224" s="79" t="s">
        <v>796</v>
      </c>
      <c r="D224" s="11" t="s">
        <v>13</v>
      </c>
      <c r="E224" s="80" t="s">
        <v>797</v>
      </c>
      <c r="F224" s="81" t="s">
        <v>456</v>
      </c>
      <c r="G224" s="82" t="s">
        <v>392</v>
      </c>
      <c r="H224" s="83" t="s">
        <v>16</v>
      </c>
      <c r="I224" s="7" t="s">
        <v>795</v>
      </c>
    </row>
    <row r="225" spans="1:9" ht="15.75" customHeight="1" x14ac:dyDescent="0.2">
      <c r="A225" s="77" t="s">
        <v>392</v>
      </c>
      <c r="B225" s="84" t="s">
        <v>798</v>
      </c>
      <c r="C225" s="85" t="s">
        <v>799</v>
      </c>
      <c r="D225" s="11" t="s">
        <v>13</v>
      </c>
      <c r="E225" s="86" t="s">
        <v>800</v>
      </c>
      <c r="F225" s="87" t="s">
        <v>459</v>
      </c>
      <c r="G225" s="88" t="s">
        <v>392</v>
      </c>
      <c r="H225" s="89" t="s">
        <v>16</v>
      </c>
      <c r="I225" s="7" t="s">
        <v>798</v>
      </c>
    </row>
    <row r="226" spans="1:9" ht="15.75" customHeight="1" x14ac:dyDescent="0.2">
      <c r="A226" s="77" t="s">
        <v>392</v>
      </c>
      <c r="B226" s="78" t="s">
        <v>801</v>
      </c>
      <c r="C226" s="79" t="s">
        <v>802</v>
      </c>
      <c r="D226" s="11" t="s">
        <v>13</v>
      </c>
      <c r="E226" s="80" t="s">
        <v>803</v>
      </c>
      <c r="F226" s="81" t="s">
        <v>462</v>
      </c>
      <c r="G226" s="82" t="s">
        <v>392</v>
      </c>
      <c r="H226" s="83" t="s">
        <v>16</v>
      </c>
      <c r="I226" s="7" t="s">
        <v>801</v>
      </c>
    </row>
    <row r="227" spans="1:9" ht="15.75" customHeight="1" x14ac:dyDescent="0.2">
      <c r="A227" s="77" t="s">
        <v>392</v>
      </c>
      <c r="B227" s="84" t="s">
        <v>804</v>
      </c>
      <c r="C227" s="85" t="s">
        <v>805</v>
      </c>
      <c r="D227" s="11" t="s">
        <v>13</v>
      </c>
      <c r="E227" s="86" t="s">
        <v>806</v>
      </c>
      <c r="F227" s="87" t="s">
        <v>807</v>
      </c>
      <c r="G227" s="88" t="s">
        <v>392</v>
      </c>
      <c r="H227" s="89" t="s">
        <v>16</v>
      </c>
      <c r="I227" s="7" t="s">
        <v>804</v>
      </c>
    </row>
    <row r="228" spans="1:9" ht="15.75" customHeight="1" x14ac:dyDescent="0.2">
      <c r="A228" s="77" t="s">
        <v>392</v>
      </c>
      <c r="B228" s="78" t="s">
        <v>808</v>
      </c>
      <c r="C228" s="79" t="s">
        <v>809</v>
      </c>
      <c r="D228" s="11" t="s">
        <v>13</v>
      </c>
      <c r="E228" s="80" t="s">
        <v>810</v>
      </c>
      <c r="F228" s="81" t="s">
        <v>811</v>
      </c>
      <c r="G228" s="82" t="s">
        <v>392</v>
      </c>
      <c r="H228" s="83" t="s">
        <v>16</v>
      </c>
      <c r="I228" s="7" t="s">
        <v>808</v>
      </c>
    </row>
    <row r="229" spans="1:9" ht="15.75" customHeight="1" x14ac:dyDescent="0.2">
      <c r="A229" s="77" t="s">
        <v>392</v>
      </c>
      <c r="B229" s="84" t="s">
        <v>812</v>
      </c>
      <c r="C229" s="85" t="s">
        <v>813</v>
      </c>
      <c r="D229" s="11" t="s">
        <v>13</v>
      </c>
      <c r="E229" s="86" t="s">
        <v>814</v>
      </c>
      <c r="F229" s="87" t="s">
        <v>815</v>
      </c>
      <c r="G229" s="88" t="s">
        <v>392</v>
      </c>
      <c r="H229" s="89" t="s">
        <v>16</v>
      </c>
      <c r="I229" s="7" t="s">
        <v>812</v>
      </c>
    </row>
    <row r="230" spans="1:9" ht="15.75" customHeight="1" x14ac:dyDescent="0.2">
      <c r="A230" s="77" t="s">
        <v>392</v>
      </c>
      <c r="B230" s="78" t="s">
        <v>816</v>
      </c>
      <c r="C230" s="79" t="s">
        <v>817</v>
      </c>
      <c r="D230" s="11" t="s">
        <v>13</v>
      </c>
      <c r="E230" s="80" t="s">
        <v>814</v>
      </c>
      <c r="F230" s="81" t="s">
        <v>815</v>
      </c>
      <c r="G230" s="82" t="s">
        <v>392</v>
      </c>
      <c r="H230" s="83" t="s">
        <v>818</v>
      </c>
      <c r="I230" s="7" t="s">
        <v>816</v>
      </c>
    </row>
    <row r="231" spans="1:9" ht="15.75" customHeight="1" x14ac:dyDescent="0.2">
      <c r="A231" s="77" t="s">
        <v>392</v>
      </c>
      <c r="B231" s="84" t="s">
        <v>819</v>
      </c>
      <c r="C231" s="85" t="s">
        <v>820</v>
      </c>
      <c r="D231" s="11" t="s">
        <v>13</v>
      </c>
      <c r="E231" s="86" t="s">
        <v>821</v>
      </c>
      <c r="F231" s="87" t="s">
        <v>822</v>
      </c>
      <c r="G231" s="88" t="s">
        <v>392</v>
      </c>
      <c r="H231" s="89" t="s">
        <v>16</v>
      </c>
      <c r="I231" s="7" t="s">
        <v>819</v>
      </c>
    </row>
    <row r="232" spans="1:9" ht="15.75" customHeight="1" x14ac:dyDescent="0.2">
      <c r="A232" s="77" t="s">
        <v>392</v>
      </c>
      <c r="B232" s="78" t="s">
        <v>823</v>
      </c>
      <c r="C232" s="79" t="s">
        <v>824</v>
      </c>
      <c r="D232" s="11" t="s">
        <v>13</v>
      </c>
      <c r="E232" s="80" t="s">
        <v>825</v>
      </c>
      <c r="F232" s="81" t="s">
        <v>826</v>
      </c>
      <c r="G232" s="82" t="s">
        <v>392</v>
      </c>
      <c r="H232" s="83" t="s">
        <v>16</v>
      </c>
      <c r="I232" s="7" t="s">
        <v>823</v>
      </c>
    </row>
    <row r="233" spans="1:9" ht="15.75" customHeight="1" x14ac:dyDescent="0.2">
      <c r="A233" s="77" t="s">
        <v>392</v>
      </c>
      <c r="B233" s="84" t="s">
        <v>827</v>
      </c>
      <c r="C233" s="85" t="s">
        <v>828</v>
      </c>
      <c r="D233" s="11" t="s">
        <v>13</v>
      </c>
      <c r="E233" s="86" t="s">
        <v>829</v>
      </c>
      <c r="F233" s="87" t="s">
        <v>830</v>
      </c>
      <c r="G233" s="88" t="s">
        <v>392</v>
      </c>
      <c r="H233" s="89" t="s">
        <v>16</v>
      </c>
      <c r="I233" s="7" t="s">
        <v>827</v>
      </c>
    </row>
    <row r="234" spans="1:9" ht="15.75" customHeight="1" x14ac:dyDescent="0.2">
      <c r="A234" s="77" t="s">
        <v>392</v>
      </c>
      <c r="B234" s="78" t="s">
        <v>831</v>
      </c>
      <c r="C234" s="79" t="s">
        <v>832</v>
      </c>
      <c r="D234" s="11" t="s">
        <v>13</v>
      </c>
      <c r="E234" s="80" t="s">
        <v>833</v>
      </c>
      <c r="F234" s="81" t="s">
        <v>834</v>
      </c>
      <c r="G234" s="82" t="s">
        <v>392</v>
      </c>
      <c r="H234" s="83" t="s">
        <v>16</v>
      </c>
      <c r="I234" s="7" t="s">
        <v>831</v>
      </c>
    </row>
    <row r="235" spans="1:9" ht="15.75" customHeight="1" x14ac:dyDescent="0.2">
      <c r="A235" s="77" t="s">
        <v>392</v>
      </c>
      <c r="B235" s="84" t="s">
        <v>835</v>
      </c>
      <c r="C235" s="85" t="s">
        <v>836</v>
      </c>
      <c r="D235" s="11" t="s">
        <v>13</v>
      </c>
      <c r="E235" s="86" t="s">
        <v>833</v>
      </c>
      <c r="F235" s="87" t="s">
        <v>834</v>
      </c>
      <c r="G235" s="88" t="s">
        <v>392</v>
      </c>
      <c r="H235" s="89" t="s">
        <v>16</v>
      </c>
      <c r="I235" s="7" t="s">
        <v>835</v>
      </c>
    </row>
    <row r="236" spans="1:9" ht="15.75" customHeight="1" x14ac:dyDescent="0.2">
      <c r="A236" s="77" t="s">
        <v>392</v>
      </c>
      <c r="B236" s="78" t="s">
        <v>837</v>
      </c>
      <c r="C236" s="79" t="s">
        <v>838</v>
      </c>
      <c r="D236" s="11" t="s">
        <v>13</v>
      </c>
      <c r="E236" s="80" t="s">
        <v>839</v>
      </c>
      <c r="F236" s="81" t="s">
        <v>840</v>
      </c>
      <c r="G236" s="82" t="s">
        <v>392</v>
      </c>
      <c r="H236" s="83" t="s">
        <v>16</v>
      </c>
      <c r="I236" s="7" t="s">
        <v>837</v>
      </c>
    </row>
    <row r="237" spans="1:9" ht="15.75" customHeight="1" x14ac:dyDescent="0.2">
      <c r="A237" s="77" t="s">
        <v>392</v>
      </c>
      <c r="B237" s="84" t="s">
        <v>841</v>
      </c>
      <c r="C237" s="85" t="s">
        <v>842</v>
      </c>
      <c r="D237" s="11" t="s">
        <v>13</v>
      </c>
      <c r="E237" s="86" t="s">
        <v>839</v>
      </c>
      <c r="F237" s="87" t="s">
        <v>840</v>
      </c>
      <c r="G237" s="88" t="s">
        <v>392</v>
      </c>
      <c r="H237" s="89" t="s">
        <v>16</v>
      </c>
      <c r="I237" s="7" t="s">
        <v>841</v>
      </c>
    </row>
    <row r="238" spans="1:9" ht="15.75" customHeight="1" x14ac:dyDescent="0.2">
      <c r="A238" s="77" t="s">
        <v>392</v>
      </c>
      <c r="B238" s="78" t="s">
        <v>843</v>
      </c>
      <c r="C238" s="79" t="s">
        <v>844</v>
      </c>
      <c r="D238" s="11" t="s">
        <v>13</v>
      </c>
      <c r="E238" s="80" t="s">
        <v>839</v>
      </c>
      <c r="F238" s="81" t="s">
        <v>840</v>
      </c>
      <c r="G238" s="82" t="s">
        <v>392</v>
      </c>
      <c r="H238" s="83" t="s">
        <v>16</v>
      </c>
      <c r="I238" s="7" t="s">
        <v>843</v>
      </c>
    </row>
    <row r="239" spans="1:9" ht="15.75" customHeight="1" x14ac:dyDescent="0.2">
      <c r="A239" s="77" t="s">
        <v>392</v>
      </c>
      <c r="B239" s="84" t="s">
        <v>845</v>
      </c>
      <c r="C239" s="85" t="s">
        <v>846</v>
      </c>
      <c r="D239" s="11" t="s">
        <v>13</v>
      </c>
      <c r="E239" s="86" t="s">
        <v>791</v>
      </c>
      <c r="F239" s="87" t="s">
        <v>847</v>
      </c>
      <c r="G239" s="88" t="s">
        <v>392</v>
      </c>
      <c r="H239" s="24" t="s">
        <v>848</v>
      </c>
      <c r="I239" s="7" t="s">
        <v>845</v>
      </c>
    </row>
    <row r="240" spans="1:9" ht="15.75" customHeight="1" x14ac:dyDescent="0.2">
      <c r="A240" s="77" t="s">
        <v>392</v>
      </c>
      <c r="B240" s="78" t="s">
        <v>849</v>
      </c>
      <c r="C240" s="79" t="s">
        <v>850</v>
      </c>
      <c r="D240" s="11" t="s">
        <v>13</v>
      </c>
      <c r="E240" s="80" t="s">
        <v>851</v>
      </c>
      <c r="F240" s="81" t="s">
        <v>852</v>
      </c>
      <c r="G240" s="82" t="s">
        <v>392</v>
      </c>
      <c r="H240" s="83" t="s">
        <v>16</v>
      </c>
      <c r="I240" s="7" t="s">
        <v>849</v>
      </c>
    </row>
    <row r="241" spans="1:9" ht="15.75" customHeight="1" x14ac:dyDescent="0.2">
      <c r="A241" s="77" t="s">
        <v>392</v>
      </c>
      <c r="B241" s="84" t="s">
        <v>853</v>
      </c>
      <c r="C241" s="85" t="s">
        <v>854</v>
      </c>
      <c r="D241" s="11" t="s">
        <v>13</v>
      </c>
      <c r="E241" s="86" t="s">
        <v>855</v>
      </c>
      <c r="F241" s="87" t="s">
        <v>856</v>
      </c>
      <c r="G241" s="88" t="s">
        <v>392</v>
      </c>
      <c r="H241" s="89" t="s">
        <v>16</v>
      </c>
      <c r="I241" s="7" t="s">
        <v>853</v>
      </c>
    </row>
    <row r="242" spans="1:9" ht="15.75" customHeight="1" x14ac:dyDescent="0.2">
      <c r="A242" s="77" t="s">
        <v>392</v>
      </c>
      <c r="B242" s="78" t="s">
        <v>857</v>
      </c>
      <c r="C242" s="79" t="s">
        <v>858</v>
      </c>
      <c r="D242" s="11" t="s">
        <v>13</v>
      </c>
      <c r="E242" s="80" t="s">
        <v>859</v>
      </c>
      <c r="F242" s="81" t="s">
        <v>858</v>
      </c>
      <c r="G242" s="82" t="s">
        <v>392</v>
      </c>
      <c r="H242" s="83" t="s">
        <v>16</v>
      </c>
      <c r="I242" s="7" t="s">
        <v>857</v>
      </c>
    </row>
    <row r="243" spans="1:9" ht="15.75" customHeight="1" x14ac:dyDescent="0.2">
      <c r="A243" s="77" t="s">
        <v>392</v>
      </c>
      <c r="B243" s="84" t="s">
        <v>860</v>
      </c>
      <c r="C243" s="85" t="s">
        <v>861</v>
      </c>
      <c r="D243" s="11" t="s">
        <v>13</v>
      </c>
      <c r="E243" s="86" t="s">
        <v>862</v>
      </c>
      <c r="F243" s="87" t="s">
        <v>861</v>
      </c>
      <c r="G243" s="88" t="s">
        <v>392</v>
      </c>
      <c r="H243" s="89" t="s">
        <v>16</v>
      </c>
      <c r="I243" s="7" t="s">
        <v>860</v>
      </c>
    </row>
    <row r="244" spans="1:9" ht="15.75" customHeight="1" x14ac:dyDescent="0.2">
      <c r="A244" s="77" t="s">
        <v>392</v>
      </c>
      <c r="B244" s="78" t="s">
        <v>839</v>
      </c>
      <c r="C244" s="79" t="s">
        <v>863</v>
      </c>
      <c r="D244" s="23" t="s">
        <v>120</v>
      </c>
      <c r="E244" s="80" t="s">
        <v>864</v>
      </c>
      <c r="F244" s="81" t="s">
        <v>865</v>
      </c>
      <c r="G244" s="82" t="s">
        <v>392</v>
      </c>
      <c r="H244" s="24" t="s">
        <v>866</v>
      </c>
      <c r="I244" s="7" t="s">
        <v>839</v>
      </c>
    </row>
    <row r="245" spans="1:9" ht="15.75" customHeight="1" x14ac:dyDescent="0.2">
      <c r="A245" s="77" t="s">
        <v>392</v>
      </c>
      <c r="B245" s="84" t="s">
        <v>867</v>
      </c>
      <c r="C245" s="85" t="s">
        <v>868</v>
      </c>
      <c r="D245" s="11" t="s">
        <v>13</v>
      </c>
      <c r="E245" s="86" t="s">
        <v>869</v>
      </c>
      <c r="F245" s="87" t="s">
        <v>870</v>
      </c>
      <c r="G245" s="88" t="s">
        <v>392</v>
      </c>
      <c r="H245" s="89" t="s">
        <v>21</v>
      </c>
      <c r="I245" s="7" t="s">
        <v>867</v>
      </c>
    </row>
    <row r="246" spans="1:9" ht="15.75" customHeight="1" x14ac:dyDescent="0.2">
      <c r="A246" s="77" t="s">
        <v>392</v>
      </c>
      <c r="B246" s="78" t="s">
        <v>871</v>
      </c>
      <c r="C246" s="79" t="s">
        <v>872</v>
      </c>
      <c r="D246" s="11" t="s">
        <v>13</v>
      </c>
      <c r="E246" s="80" t="s">
        <v>873</v>
      </c>
      <c r="F246" s="81" t="s">
        <v>874</v>
      </c>
      <c r="G246" s="82" t="s">
        <v>392</v>
      </c>
      <c r="H246" s="83" t="s">
        <v>16</v>
      </c>
      <c r="I246" s="7" t="s">
        <v>871</v>
      </c>
    </row>
    <row r="247" spans="1:9" ht="15.75" customHeight="1" x14ac:dyDescent="0.2">
      <c r="A247" s="77" t="s">
        <v>392</v>
      </c>
      <c r="B247" s="84" t="s">
        <v>875</v>
      </c>
      <c r="C247" s="85" t="s">
        <v>876</v>
      </c>
      <c r="D247" s="11" t="s">
        <v>13</v>
      </c>
      <c r="E247" s="86" t="s">
        <v>877</v>
      </c>
      <c r="F247" s="87" t="s">
        <v>876</v>
      </c>
      <c r="G247" s="88" t="s">
        <v>392</v>
      </c>
      <c r="H247" s="89" t="s">
        <v>16</v>
      </c>
      <c r="I247" s="7" t="s">
        <v>875</v>
      </c>
    </row>
    <row r="248" spans="1:9" ht="15.75" customHeight="1" x14ac:dyDescent="0.2">
      <c r="A248" s="77" t="s">
        <v>392</v>
      </c>
      <c r="B248" s="78" t="s">
        <v>878</v>
      </c>
      <c r="C248" s="79" t="s">
        <v>879</v>
      </c>
      <c r="D248" s="11" t="s">
        <v>13</v>
      </c>
      <c r="E248" s="80" t="s">
        <v>880</v>
      </c>
      <c r="F248" s="81" t="s">
        <v>879</v>
      </c>
      <c r="G248" s="82" t="s">
        <v>392</v>
      </c>
      <c r="H248" s="83" t="s">
        <v>16</v>
      </c>
      <c r="I248" s="7" t="s">
        <v>878</v>
      </c>
    </row>
    <row r="249" spans="1:9" ht="15.75" customHeight="1" x14ac:dyDescent="0.2">
      <c r="A249" s="77" t="s">
        <v>392</v>
      </c>
      <c r="B249" s="84" t="s">
        <v>881</v>
      </c>
      <c r="C249" s="85" t="s">
        <v>882</v>
      </c>
      <c r="D249" s="23" t="s">
        <v>120</v>
      </c>
      <c r="E249" s="86" t="s">
        <v>883</v>
      </c>
      <c r="F249" s="87" t="s">
        <v>884</v>
      </c>
      <c r="G249" s="88" t="s">
        <v>392</v>
      </c>
      <c r="H249" s="24" t="s">
        <v>885</v>
      </c>
      <c r="I249" s="7" t="s">
        <v>881</v>
      </c>
    </row>
    <row r="250" spans="1:9" ht="15.75" customHeight="1" x14ac:dyDescent="0.2">
      <c r="A250" s="77" t="s">
        <v>392</v>
      </c>
      <c r="B250" s="78" t="s">
        <v>886</v>
      </c>
      <c r="C250" s="79" t="s">
        <v>887</v>
      </c>
      <c r="D250" s="11" t="s">
        <v>13</v>
      </c>
      <c r="E250" s="80" t="s">
        <v>888</v>
      </c>
      <c r="F250" s="81" t="s">
        <v>887</v>
      </c>
      <c r="G250" s="82" t="s">
        <v>392</v>
      </c>
      <c r="H250" s="83" t="s">
        <v>16</v>
      </c>
      <c r="I250" s="7" t="s">
        <v>886</v>
      </c>
    </row>
    <row r="251" spans="1:9" ht="15.75" customHeight="1" x14ac:dyDescent="0.2">
      <c r="A251" s="77" t="s">
        <v>392</v>
      </c>
      <c r="B251" s="84" t="s">
        <v>889</v>
      </c>
      <c r="C251" s="85" t="s">
        <v>890</v>
      </c>
      <c r="D251" s="11" t="s">
        <v>13</v>
      </c>
      <c r="E251" s="86" t="s">
        <v>891</v>
      </c>
      <c r="F251" s="87" t="s">
        <v>890</v>
      </c>
      <c r="G251" s="88" t="s">
        <v>392</v>
      </c>
      <c r="H251" s="89" t="s">
        <v>16</v>
      </c>
      <c r="I251" s="7" t="s">
        <v>889</v>
      </c>
    </row>
    <row r="252" spans="1:9" ht="15.75" customHeight="1" x14ac:dyDescent="0.2">
      <c r="A252" s="77" t="s">
        <v>392</v>
      </c>
      <c r="B252" s="78" t="s">
        <v>892</v>
      </c>
      <c r="C252" s="79" t="s">
        <v>893</v>
      </c>
      <c r="D252" s="11" t="s">
        <v>13</v>
      </c>
      <c r="E252" s="80" t="s">
        <v>894</v>
      </c>
      <c r="F252" s="81" t="s">
        <v>895</v>
      </c>
      <c r="G252" s="82" t="s">
        <v>392</v>
      </c>
      <c r="H252" s="83" t="s">
        <v>16</v>
      </c>
      <c r="I252" s="7" t="s">
        <v>892</v>
      </c>
    </row>
    <row r="253" spans="1:9" ht="15.75" customHeight="1" x14ac:dyDescent="0.2">
      <c r="A253" s="77" t="s">
        <v>392</v>
      </c>
      <c r="B253" s="84" t="s">
        <v>896</v>
      </c>
      <c r="C253" s="85" t="s">
        <v>897</v>
      </c>
      <c r="D253" s="11" t="s">
        <v>13</v>
      </c>
      <c r="E253" s="86" t="s">
        <v>898</v>
      </c>
      <c r="F253" s="87" t="s">
        <v>897</v>
      </c>
      <c r="G253" s="88" t="s">
        <v>392</v>
      </c>
      <c r="H253" s="89" t="s">
        <v>16</v>
      </c>
      <c r="I253" s="7" t="s">
        <v>896</v>
      </c>
    </row>
    <row r="254" spans="1:9" ht="15.75" customHeight="1" x14ac:dyDescent="0.2">
      <c r="A254" s="77" t="s">
        <v>392</v>
      </c>
      <c r="B254" s="78" t="s">
        <v>899</v>
      </c>
      <c r="C254" s="79" t="s">
        <v>900</v>
      </c>
      <c r="D254" s="11" t="s">
        <v>13</v>
      </c>
      <c r="E254" s="80" t="s">
        <v>901</v>
      </c>
      <c r="F254" s="81" t="s">
        <v>900</v>
      </c>
      <c r="G254" s="82" t="s">
        <v>392</v>
      </c>
      <c r="H254" s="83" t="s">
        <v>16</v>
      </c>
      <c r="I254" s="7" t="s">
        <v>899</v>
      </c>
    </row>
    <row r="255" spans="1:9" ht="15.75" customHeight="1" x14ac:dyDescent="0.2">
      <c r="A255" s="77" t="s">
        <v>392</v>
      </c>
      <c r="B255" s="84" t="s">
        <v>902</v>
      </c>
      <c r="C255" s="85" t="s">
        <v>903</v>
      </c>
      <c r="D255" s="11" t="s">
        <v>13</v>
      </c>
      <c r="E255" s="86" t="s">
        <v>904</v>
      </c>
      <c r="F255" s="87" t="s">
        <v>903</v>
      </c>
      <c r="G255" s="88" t="s">
        <v>392</v>
      </c>
      <c r="H255" s="89" t="s">
        <v>16</v>
      </c>
      <c r="I255" s="7" t="s">
        <v>902</v>
      </c>
    </row>
    <row r="256" spans="1:9" ht="15.75" customHeight="1" x14ac:dyDescent="0.2">
      <c r="A256" s="77" t="s">
        <v>392</v>
      </c>
      <c r="B256" s="78" t="s">
        <v>905</v>
      </c>
      <c r="C256" s="79" t="s">
        <v>906</v>
      </c>
      <c r="D256" s="11" t="s">
        <v>13</v>
      </c>
      <c r="E256" s="80" t="s">
        <v>907</v>
      </c>
      <c r="F256" s="81" t="s">
        <v>906</v>
      </c>
      <c r="G256" s="82" t="s">
        <v>392</v>
      </c>
      <c r="H256" s="83" t="s">
        <v>16</v>
      </c>
      <c r="I256" s="7" t="s">
        <v>905</v>
      </c>
    </row>
    <row r="257" spans="1:9" ht="15.75" customHeight="1" x14ac:dyDescent="0.2">
      <c r="A257" s="77" t="s">
        <v>392</v>
      </c>
      <c r="B257" s="84" t="s">
        <v>908</v>
      </c>
      <c r="C257" s="85" t="s">
        <v>909</v>
      </c>
      <c r="D257" s="11" t="s">
        <v>13</v>
      </c>
      <c r="E257" s="86" t="s">
        <v>910</v>
      </c>
      <c r="F257" s="87" t="s">
        <v>909</v>
      </c>
      <c r="G257" s="88" t="s">
        <v>392</v>
      </c>
      <c r="H257" s="89" t="s">
        <v>16</v>
      </c>
      <c r="I257" s="7" t="s">
        <v>908</v>
      </c>
    </row>
    <row r="258" spans="1:9" ht="15.75" customHeight="1" x14ac:dyDescent="0.2">
      <c r="A258" s="77" t="s">
        <v>392</v>
      </c>
      <c r="B258" s="78" t="s">
        <v>911</v>
      </c>
      <c r="C258" s="79" t="s">
        <v>912</v>
      </c>
      <c r="D258" s="11" t="s">
        <v>13</v>
      </c>
      <c r="E258" s="80" t="s">
        <v>913</v>
      </c>
      <c r="F258" s="81" t="s">
        <v>912</v>
      </c>
      <c r="G258" s="82" t="s">
        <v>392</v>
      </c>
      <c r="H258" s="83" t="s">
        <v>16</v>
      </c>
      <c r="I258" s="7" t="s">
        <v>911</v>
      </c>
    </row>
    <row r="259" spans="1:9" ht="15.75" customHeight="1" x14ac:dyDescent="0.2">
      <c r="A259" s="77" t="s">
        <v>392</v>
      </c>
      <c r="B259" s="84" t="s">
        <v>914</v>
      </c>
      <c r="C259" s="85" t="s">
        <v>915</v>
      </c>
      <c r="D259" s="11" t="s">
        <v>13</v>
      </c>
      <c r="E259" s="86" t="s">
        <v>916</v>
      </c>
      <c r="F259" s="87" t="s">
        <v>917</v>
      </c>
      <c r="G259" s="88" t="s">
        <v>392</v>
      </c>
      <c r="H259" s="89" t="s">
        <v>16</v>
      </c>
      <c r="I259" s="7" t="s">
        <v>914</v>
      </c>
    </row>
    <row r="260" spans="1:9" ht="15.75" customHeight="1" x14ac:dyDescent="0.2">
      <c r="A260" s="77" t="s">
        <v>392</v>
      </c>
      <c r="B260" s="78" t="s">
        <v>918</v>
      </c>
      <c r="C260" s="79" t="s">
        <v>919</v>
      </c>
      <c r="D260" s="11" t="s">
        <v>13</v>
      </c>
      <c r="E260" s="80" t="s">
        <v>920</v>
      </c>
      <c r="F260" s="81" t="s">
        <v>919</v>
      </c>
      <c r="G260" s="82" t="s">
        <v>392</v>
      </c>
      <c r="H260" s="83" t="s">
        <v>16</v>
      </c>
      <c r="I260" s="7" t="s">
        <v>918</v>
      </c>
    </row>
    <row r="261" spans="1:9" ht="15.75" customHeight="1" x14ac:dyDescent="0.2">
      <c r="A261" s="77" t="s">
        <v>392</v>
      </c>
      <c r="B261" s="84" t="s">
        <v>921</v>
      </c>
      <c r="C261" s="85" t="s">
        <v>922</v>
      </c>
      <c r="D261" s="11" t="s">
        <v>13</v>
      </c>
      <c r="E261" s="86" t="s">
        <v>923</v>
      </c>
      <c r="F261" s="87" t="s">
        <v>924</v>
      </c>
      <c r="G261" s="88" t="s">
        <v>392</v>
      </c>
      <c r="H261" s="89" t="s">
        <v>16</v>
      </c>
      <c r="I261" s="7" t="s">
        <v>921</v>
      </c>
    </row>
    <row r="262" spans="1:9" ht="15.75" customHeight="1" x14ac:dyDescent="0.2">
      <c r="A262" s="77" t="s">
        <v>392</v>
      </c>
      <c r="B262" s="78" t="s">
        <v>925</v>
      </c>
      <c r="C262" s="79" t="s">
        <v>926</v>
      </c>
      <c r="D262" s="11" t="s">
        <v>13</v>
      </c>
      <c r="E262" s="80" t="s">
        <v>927</v>
      </c>
      <c r="F262" s="81" t="s">
        <v>926</v>
      </c>
      <c r="G262" s="82" t="s">
        <v>392</v>
      </c>
      <c r="H262" s="83" t="s">
        <v>16</v>
      </c>
      <c r="I262" s="7" t="s">
        <v>925</v>
      </c>
    </row>
    <row r="263" spans="1:9" ht="15.75" customHeight="1" x14ac:dyDescent="0.2">
      <c r="A263" s="77" t="s">
        <v>392</v>
      </c>
      <c r="B263" s="84" t="s">
        <v>928</v>
      </c>
      <c r="C263" s="85" t="s">
        <v>929</v>
      </c>
      <c r="D263" s="22" t="s">
        <v>24</v>
      </c>
      <c r="E263" s="86" t="s">
        <v>930</v>
      </c>
      <c r="F263" s="87" t="s">
        <v>931</v>
      </c>
      <c r="G263" s="88" t="s">
        <v>392</v>
      </c>
      <c r="H263" s="89" t="s">
        <v>21</v>
      </c>
      <c r="I263" s="7" t="s">
        <v>928</v>
      </c>
    </row>
    <row r="264" spans="1:9" ht="15.75" customHeight="1" x14ac:dyDescent="0.2">
      <c r="A264" s="77" t="s">
        <v>392</v>
      </c>
      <c r="B264" s="78" t="s">
        <v>932</v>
      </c>
      <c r="C264" s="79" t="s">
        <v>933</v>
      </c>
      <c r="D264" s="11" t="s">
        <v>13</v>
      </c>
      <c r="E264" s="80" t="s">
        <v>934</v>
      </c>
      <c r="F264" s="81" t="s">
        <v>935</v>
      </c>
      <c r="G264" s="82" t="s">
        <v>392</v>
      </c>
      <c r="H264" s="83" t="s">
        <v>16</v>
      </c>
      <c r="I264" s="7" t="s">
        <v>932</v>
      </c>
    </row>
    <row r="265" spans="1:9" ht="15.75" customHeight="1" x14ac:dyDescent="0.2">
      <c r="A265" s="77" t="s">
        <v>392</v>
      </c>
      <c r="B265" s="84" t="s">
        <v>936</v>
      </c>
      <c r="C265" s="85" t="s">
        <v>937</v>
      </c>
      <c r="D265" s="23" t="s">
        <v>120</v>
      </c>
      <c r="E265" s="86" t="s">
        <v>657</v>
      </c>
      <c r="F265" s="87" t="s">
        <v>658</v>
      </c>
      <c r="G265" s="88" t="s">
        <v>392</v>
      </c>
      <c r="H265" s="24" t="s">
        <v>938</v>
      </c>
      <c r="I265" s="7" t="s">
        <v>936</v>
      </c>
    </row>
    <row r="266" spans="1:9" ht="15.75" customHeight="1" x14ac:dyDescent="0.2">
      <c r="A266" s="77" t="s">
        <v>392</v>
      </c>
      <c r="B266" s="78" t="s">
        <v>939</v>
      </c>
      <c r="C266" s="79" t="s">
        <v>940</v>
      </c>
      <c r="D266" s="23" t="s">
        <v>120</v>
      </c>
      <c r="E266" s="80" t="s">
        <v>662</v>
      </c>
      <c r="F266" s="81" t="s">
        <v>941</v>
      </c>
      <c r="G266" s="82" t="s">
        <v>392</v>
      </c>
      <c r="H266" s="24" t="s">
        <v>942</v>
      </c>
      <c r="I266" s="7" t="s">
        <v>939</v>
      </c>
    </row>
    <row r="267" spans="1:9" ht="15.75" customHeight="1" x14ac:dyDescent="0.2">
      <c r="A267" s="77" t="s">
        <v>392</v>
      </c>
      <c r="B267" s="84" t="s">
        <v>943</v>
      </c>
      <c r="C267" s="85" t="s">
        <v>944</v>
      </c>
      <c r="D267" s="11" t="s">
        <v>13</v>
      </c>
      <c r="E267" s="86" t="s">
        <v>945</v>
      </c>
      <c r="F267" s="87" t="s">
        <v>944</v>
      </c>
      <c r="G267" s="88" t="s">
        <v>392</v>
      </c>
      <c r="H267" s="89" t="s">
        <v>16</v>
      </c>
      <c r="I267" s="7" t="s">
        <v>943</v>
      </c>
    </row>
    <row r="268" spans="1:9" ht="15.75" customHeight="1" x14ac:dyDescent="0.2">
      <c r="A268" s="77" t="s">
        <v>392</v>
      </c>
      <c r="B268" s="78" t="s">
        <v>946</v>
      </c>
      <c r="C268" s="79" t="s">
        <v>947</v>
      </c>
      <c r="D268" s="11" t="s">
        <v>13</v>
      </c>
      <c r="E268" s="80" t="s">
        <v>948</v>
      </c>
      <c r="F268" s="81" t="s">
        <v>949</v>
      </c>
      <c r="G268" s="82" t="s">
        <v>392</v>
      </c>
      <c r="H268" s="83" t="s">
        <v>16</v>
      </c>
      <c r="I268" s="7" t="s">
        <v>946</v>
      </c>
    </row>
    <row r="269" spans="1:9" ht="15.75" customHeight="1" x14ac:dyDescent="0.2">
      <c r="A269" s="77" t="s">
        <v>392</v>
      </c>
      <c r="B269" s="84" t="s">
        <v>950</v>
      </c>
      <c r="C269" s="85" t="s">
        <v>951</v>
      </c>
      <c r="D269" s="23" t="s">
        <v>120</v>
      </c>
      <c r="E269" s="86" t="s">
        <v>952</v>
      </c>
      <c r="F269" s="87" t="s">
        <v>953</v>
      </c>
      <c r="G269" s="88" t="s">
        <v>392</v>
      </c>
      <c r="H269" s="24" t="s">
        <v>954</v>
      </c>
      <c r="I269" s="7" t="s">
        <v>950</v>
      </c>
    </row>
    <row r="270" spans="1:9" ht="15.75" customHeight="1" x14ac:dyDescent="0.2">
      <c r="A270" s="77" t="s">
        <v>392</v>
      </c>
      <c r="B270" s="78" t="s">
        <v>955</v>
      </c>
      <c r="C270" s="79" t="s">
        <v>956</v>
      </c>
      <c r="D270" s="11" t="s">
        <v>13</v>
      </c>
      <c r="E270" s="80" t="s">
        <v>957</v>
      </c>
      <c r="F270" s="81" t="s">
        <v>956</v>
      </c>
      <c r="G270" s="82" t="s">
        <v>392</v>
      </c>
      <c r="H270" s="83" t="s">
        <v>598</v>
      </c>
      <c r="I270" s="7" t="s">
        <v>955</v>
      </c>
    </row>
    <row r="271" spans="1:9" ht="15.75" customHeight="1" x14ac:dyDescent="0.2">
      <c r="A271" s="77" t="s">
        <v>392</v>
      </c>
      <c r="B271" s="84" t="s">
        <v>958</v>
      </c>
      <c r="C271" s="85" t="s">
        <v>959</v>
      </c>
      <c r="D271" s="11" t="s">
        <v>13</v>
      </c>
      <c r="E271" s="86" t="s">
        <v>960</v>
      </c>
      <c r="F271" s="87" t="s">
        <v>959</v>
      </c>
      <c r="G271" s="88" t="s">
        <v>392</v>
      </c>
      <c r="H271" s="89" t="s">
        <v>16</v>
      </c>
      <c r="I271" s="7" t="s">
        <v>958</v>
      </c>
    </row>
    <row r="272" spans="1:9" ht="15.75" customHeight="1" x14ac:dyDescent="0.2">
      <c r="A272" s="77" t="s">
        <v>392</v>
      </c>
      <c r="B272" s="78" t="s">
        <v>961</v>
      </c>
      <c r="C272" s="79" t="s">
        <v>962</v>
      </c>
      <c r="D272" s="11" t="s">
        <v>13</v>
      </c>
      <c r="E272" s="80" t="s">
        <v>963</v>
      </c>
      <c r="F272" s="81" t="s">
        <v>964</v>
      </c>
      <c r="G272" s="82" t="s">
        <v>392</v>
      </c>
      <c r="H272" s="83" t="s">
        <v>16</v>
      </c>
      <c r="I272" s="7" t="s">
        <v>961</v>
      </c>
    </row>
    <row r="273" spans="1:9" ht="15.75" customHeight="1" x14ac:dyDescent="0.2">
      <c r="A273" s="77" t="s">
        <v>392</v>
      </c>
      <c r="B273" s="84" t="s">
        <v>965</v>
      </c>
      <c r="C273" s="85" t="s">
        <v>966</v>
      </c>
      <c r="D273" s="23" t="s">
        <v>120</v>
      </c>
      <c r="E273" s="86" t="s">
        <v>967</v>
      </c>
      <c r="F273" s="87" t="s">
        <v>968</v>
      </c>
      <c r="G273" s="88" t="s">
        <v>392</v>
      </c>
      <c r="H273" s="89" t="s">
        <v>969</v>
      </c>
      <c r="I273" s="7" t="s">
        <v>965</v>
      </c>
    </row>
    <row r="274" spans="1:9" ht="15.75" customHeight="1" x14ac:dyDescent="0.2">
      <c r="A274" s="77" t="s">
        <v>392</v>
      </c>
      <c r="B274" s="78" t="s">
        <v>970</v>
      </c>
      <c r="C274" s="79" t="s">
        <v>971</v>
      </c>
      <c r="D274" s="11" t="s">
        <v>13</v>
      </c>
      <c r="E274" s="80" t="s">
        <v>972</v>
      </c>
      <c r="F274" s="81" t="s">
        <v>973</v>
      </c>
      <c r="G274" s="82" t="s">
        <v>392</v>
      </c>
      <c r="H274" s="83" t="s">
        <v>16</v>
      </c>
      <c r="I274" s="7" t="s">
        <v>970</v>
      </c>
    </row>
    <row r="275" spans="1:9" ht="15.75" customHeight="1" x14ac:dyDescent="0.2">
      <c r="A275" s="77" t="s">
        <v>392</v>
      </c>
      <c r="B275" s="84" t="s">
        <v>974</v>
      </c>
      <c r="C275" s="85" t="s">
        <v>975</v>
      </c>
      <c r="D275" s="11" t="s">
        <v>13</v>
      </c>
      <c r="E275" s="86" t="s">
        <v>976</v>
      </c>
      <c r="F275" s="87" t="s">
        <v>975</v>
      </c>
      <c r="G275" s="88" t="s">
        <v>392</v>
      </c>
      <c r="H275" s="89" t="s">
        <v>16</v>
      </c>
      <c r="I275" s="7" t="s">
        <v>974</v>
      </c>
    </row>
    <row r="276" spans="1:9" ht="15.75" customHeight="1" x14ac:dyDescent="0.2">
      <c r="A276" s="77" t="s">
        <v>392</v>
      </c>
      <c r="B276" s="78" t="s">
        <v>977</v>
      </c>
      <c r="C276" s="79" t="s">
        <v>978</v>
      </c>
      <c r="D276" s="11" t="s">
        <v>13</v>
      </c>
      <c r="E276" s="80" t="s">
        <v>979</v>
      </c>
      <c r="F276" s="81" t="s">
        <v>980</v>
      </c>
      <c r="G276" s="82" t="s">
        <v>392</v>
      </c>
      <c r="H276" s="83" t="s">
        <v>16</v>
      </c>
      <c r="I276" s="7" t="s">
        <v>977</v>
      </c>
    </row>
    <row r="277" spans="1:9" ht="15.75" customHeight="1" x14ac:dyDescent="0.2">
      <c r="A277" s="77" t="s">
        <v>392</v>
      </c>
      <c r="B277" s="84" t="s">
        <v>981</v>
      </c>
      <c r="C277" s="85" t="s">
        <v>982</v>
      </c>
      <c r="D277" s="11" t="s">
        <v>13</v>
      </c>
      <c r="E277" s="86" t="s">
        <v>983</v>
      </c>
      <c r="F277" s="87" t="s">
        <v>984</v>
      </c>
      <c r="G277" s="88" t="s">
        <v>392</v>
      </c>
      <c r="H277" s="89" t="s">
        <v>16</v>
      </c>
      <c r="I277" s="7" t="s">
        <v>981</v>
      </c>
    </row>
    <row r="278" spans="1:9" ht="15.75" customHeight="1" x14ac:dyDescent="0.2">
      <c r="A278" s="77" t="s">
        <v>392</v>
      </c>
      <c r="B278" s="78" t="s">
        <v>888</v>
      </c>
      <c r="C278" s="79" t="s">
        <v>985</v>
      </c>
      <c r="D278" s="11" t="s">
        <v>13</v>
      </c>
      <c r="E278" s="80" t="s">
        <v>963</v>
      </c>
      <c r="F278" s="81" t="s">
        <v>964</v>
      </c>
      <c r="G278" s="82" t="s">
        <v>392</v>
      </c>
      <c r="H278" s="83" t="s">
        <v>16</v>
      </c>
      <c r="I278" s="7" t="s">
        <v>888</v>
      </c>
    </row>
    <row r="279" spans="1:9" ht="15.75" customHeight="1" x14ac:dyDescent="0.2">
      <c r="A279" s="77" t="s">
        <v>392</v>
      </c>
      <c r="B279" s="84" t="s">
        <v>986</v>
      </c>
      <c r="C279" s="85" t="s">
        <v>987</v>
      </c>
      <c r="D279" s="11" t="s">
        <v>13</v>
      </c>
      <c r="E279" s="86" t="s">
        <v>988</v>
      </c>
      <c r="F279" s="87" t="s">
        <v>987</v>
      </c>
      <c r="G279" s="88" t="s">
        <v>392</v>
      </c>
      <c r="H279" s="89" t="s">
        <v>16</v>
      </c>
      <c r="I279" s="7" t="s">
        <v>986</v>
      </c>
    </row>
    <row r="280" spans="1:9" ht="15.75" customHeight="1" x14ac:dyDescent="0.2">
      <c r="A280" s="77" t="s">
        <v>392</v>
      </c>
      <c r="B280" s="78" t="s">
        <v>989</v>
      </c>
      <c r="C280" s="79" t="s">
        <v>990</v>
      </c>
      <c r="D280" s="11" t="s">
        <v>13</v>
      </c>
      <c r="E280" s="80" t="s">
        <v>991</v>
      </c>
      <c r="F280" s="81" t="s">
        <v>992</v>
      </c>
      <c r="G280" s="82" t="s">
        <v>392</v>
      </c>
      <c r="H280" s="83" t="s">
        <v>21</v>
      </c>
      <c r="I280" s="7" t="s">
        <v>989</v>
      </c>
    </row>
    <row r="281" spans="1:9" ht="15.75" customHeight="1" x14ac:dyDescent="0.2">
      <c r="A281" s="77" t="s">
        <v>392</v>
      </c>
      <c r="B281" s="84" t="s">
        <v>993</v>
      </c>
      <c r="C281" s="85" t="s">
        <v>994</v>
      </c>
      <c r="D281" s="11" t="s">
        <v>13</v>
      </c>
      <c r="E281" s="86" t="s">
        <v>991</v>
      </c>
      <c r="F281" s="87" t="s">
        <v>995</v>
      </c>
      <c r="G281" s="88" t="s">
        <v>392</v>
      </c>
      <c r="H281" s="89" t="s">
        <v>16</v>
      </c>
      <c r="I281" s="7" t="s">
        <v>993</v>
      </c>
    </row>
    <row r="282" spans="1:9" ht="15.75" customHeight="1" x14ac:dyDescent="0.2">
      <c r="A282" s="77" t="s">
        <v>392</v>
      </c>
      <c r="B282" s="78" t="s">
        <v>996</v>
      </c>
      <c r="C282" s="79" t="s">
        <v>997</v>
      </c>
      <c r="D282" s="11" t="s">
        <v>13</v>
      </c>
      <c r="E282" s="80" t="s">
        <v>998</v>
      </c>
      <c r="F282" s="81" t="s">
        <v>999</v>
      </c>
      <c r="G282" s="82" t="s">
        <v>392</v>
      </c>
      <c r="H282" s="83" t="s">
        <v>16</v>
      </c>
      <c r="I282" s="7" t="s">
        <v>996</v>
      </c>
    </row>
    <row r="283" spans="1:9" ht="15.75" customHeight="1" x14ac:dyDescent="0.2">
      <c r="A283" s="77" t="s">
        <v>392</v>
      </c>
      <c r="B283" s="84" t="s">
        <v>1000</v>
      </c>
      <c r="C283" s="85" t="s">
        <v>1001</v>
      </c>
      <c r="D283" s="11" t="s">
        <v>13</v>
      </c>
      <c r="E283" s="86" t="s">
        <v>1002</v>
      </c>
      <c r="F283" s="87" t="s">
        <v>1003</v>
      </c>
      <c r="G283" s="88" t="s">
        <v>392</v>
      </c>
      <c r="H283" s="89" t="s">
        <v>16</v>
      </c>
      <c r="I283" s="7" t="s">
        <v>1000</v>
      </c>
    </row>
    <row r="284" spans="1:9" ht="15.75" customHeight="1" x14ac:dyDescent="0.2">
      <c r="A284" s="77" t="s">
        <v>392</v>
      </c>
      <c r="B284" s="78" t="s">
        <v>1004</v>
      </c>
      <c r="C284" s="79" t="s">
        <v>1005</v>
      </c>
      <c r="D284" s="11" t="s">
        <v>13</v>
      </c>
      <c r="E284" s="80" t="s">
        <v>1006</v>
      </c>
      <c r="F284" s="81" t="s">
        <v>1007</v>
      </c>
      <c r="G284" s="82" t="s">
        <v>392</v>
      </c>
      <c r="H284" s="83" t="s">
        <v>16</v>
      </c>
      <c r="I284" s="7" t="s">
        <v>1004</v>
      </c>
    </row>
    <row r="285" spans="1:9" ht="15.75" customHeight="1" x14ac:dyDescent="0.2">
      <c r="A285" s="77" t="s">
        <v>392</v>
      </c>
      <c r="B285" s="84" t="s">
        <v>1008</v>
      </c>
      <c r="C285" s="85" t="s">
        <v>1009</v>
      </c>
      <c r="D285" s="11" t="s">
        <v>13</v>
      </c>
      <c r="E285" s="86" t="s">
        <v>1010</v>
      </c>
      <c r="F285" s="87" t="s">
        <v>1009</v>
      </c>
      <c r="G285" s="88" t="s">
        <v>392</v>
      </c>
      <c r="H285" s="89" t="s">
        <v>16</v>
      </c>
      <c r="I285" s="7" t="s">
        <v>1008</v>
      </c>
    </row>
    <row r="286" spans="1:9" ht="15.75" customHeight="1" x14ac:dyDescent="0.2">
      <c r="A286" s="77" t="s">
        <v>392</v>
      </c>
      <c r="B286" s="78" t="s">
        <v>1011</v>
      </c>
      <c r="C286" s="79" t="s">
        <v>1012</v>
      </c>
      <c r="D286" s="11" t="s">
        <v>13</v>
      </c>
      <c r="E286" s="80" t="s">
        <v>1013</v>
      </c>
      <c r="F286" s="81" t="s">
        <v>1014</v>
      </c>
      <c r="G286" s="82" t="s">
        <v>392</v>
      </c>
      <c r="H286" s="83" t="s">
        <v>16</v>
      </c>
      <c r="I286" s="7" t="s">
        <v>1011</v>
      </c>
    </row>
    <row r="287" spans="1:9" ht="15.75" customHeight="1" x14ac:dyDescent="0.2">
      <c r="A287" s="77" t="s">
        <v>392</v>
      </c>
      <c r="B287" s="84" t="s">
        <v>1015</v>
      </c>
      <c r="C287" s="85" t="s">
        <v>1016</v>
      </c>
      <c r="D287" s="11" t="s">
        <v>13</v>
      </c>
      <c r="E287" s="86" t="s">
        <v>1017</v>
      </c>
      <c r="F287" s="87" t="s">
        <v>1016</v>
      </c>
      <c r="G287" s="88" t="s">
        <v>392</v>
      </c>
      <c r="H287" s="89" t="s">
        <v>16</v>
      </c>
      <c r="I287" s="7" t="s">
        <v>1015</v>
      </c>
    </row>
    <row r="288" spans="1:9" ht="15.75" customHeight="1" x14ac:dyDescent="0.2">
      <c r="A288" s="77" t="s">
        <v>392</v>
      </c>
      <c r="B288" s="78" t="s">
        <v>1018</v>
      </c>
      <c r="C288" s="79" t="s">
        <v>1019</v>
      </c>
      <c r="D288" s="11" t="s">
        <v>13</v>
      </c>
      <c r="E288" s="80" t="s">
        <v>1020</v>
      </c>
      <c r="F288" s="81" t="s">
        <v>1019</v>
      </c>
      <c r="G288" s="82" t="s">
        <v>392</v>
      </c>
      <c r="H288" s="83" t="s">
        <v>16</v>
      </c>
      <c r="I288" s="7" t="s">
        <v>1018</v>
      </c>
    </row>
    <row r="289" spans="1:9" ht="15.75" customHeight="1" x14ac:dyDescent="0.2">
      <c r="A289" s="77" t="s">
        <v>392</v>
      </c>
      <c r="B289" s="84" t="s">
        <v>1021</v>
      </c>
      <c r="C289" s="85" t="s">
        <v>1022</v>
      </c>
      <c r="D289" s="11" t="s">
        <v>13</v>
      </c>
      <c r="E289" s="86" t="s">
        <v>1023</v>
      </c>
      <c r="F289" s="87" t="s">
        <v>1022</v>
      </c>
      <c r="G289" s="88" t="s">
        <v>392</v>
      </c>
      <c r="H289" s="89" t="s">
        <v>16</v>
      </c>
      <c r="I289" s="7" t="s">
        <v>1021</v>
      </c>
    </row>
    <row r="290" spans="1:9" ht="15.75" customHeight="1" x14ac:dyDescent="0.2">
      <c r="A290" s="77" t="s">
        <v>392</v>
      </c>
      <c r="B290" s="78" t="s">
        <v>1024</v>
      </c>
      <c r="C290" s="79" t="s">
        <v>1025</v>
      </c>
      <c r="D290" s="11" t="s">
        <v>13</v>
      </c>
      <c r="E290" s="80" t="s">
        <v>1026</v>
      </c>
      <c r="F290" s="81" t="s">
        <v>1027</v>
      </c>
      <c r="G290" s="82" t="s">
        <v>392</v>
      </c>
      <c r="H290" s="83" t="s">
        <v>16</v>
      </c>
      <c r="I290" s="7" t="s">
        <v>1024</v>
      </c>
    </row>
    <row r="291" spans="1:9" ht="15.75" customHeight="1" x14ac:dyDescent="0.2">
      <c r="A291" s="77" t="s">
        <v>392</v>
      </c>
      <c r="B291" s="84" t="s">
        <v>1028</v>
      </c>
      <c r="C291" s="85" t="s">
        <v>1029</v>
      </c>
      <c r="D291" s="11" t="s">
        <v>13</v>
      </c>
      <c r="E291" s="86" t="s">
        <v>1030</v>
      </c>
      <c r="F291" s="87" t="s">
        <v>1029</v>
      </c>
      <c r="G291" s="88" t="s">
        <v>392</v>
      </c>
      <c r="H291" s="89" t="s">
        <v>16</v>
      </c>
      <c r="I291" s="7" t="s">
        <v>1028</v>
      </c>
    </row>
    <row r="292" spans="1:9" ht="15.75" customHeight="1" x14ac:dyDescent="0.2">
      <c r="A292" s="77" t="s">
        <v>392</v>
      </c>
      <c r="B292" s="78" t="s">
        <v>1031</v>
      </c>
      <c r="C292" s="79" t="s">
        <v>1032</v>
      </c>
      <c r="D292" s="11" t="s">
        <v>13</v>
      </c>
      <c r="E292" s="80" t="s">
        <v>1033</v>
      </c>
      <c r="F292" s="81" t="s">
        <v>1034</v>
      </c>
      <c r="G292" s="82" t="s">
        <v>392</v>
      </c>
      <c r="H292" s="83" t="s">
        <v>16</v>
      </c>
      <c r="I292" s="7" t="s">
        <v>1031</v>
      </c>
    </row>
    <row r="293" spans="1:9" ht="15.75" customHeight="1" x14ac:dyDescent="0.2">
      <c r="A293" s="77" t="s">
        <v>392</v>
      </c>
      <c r="B293" s="84" t="s">
        <v>1035</v>
      </c>
      <c r="C293" s="85" t="s">
        <v>1036</v>
      </c>
      <c r="D293" s="11" t="s">
        <v>13</v>
      </c>
      <c r="E293" s="86" t="s">
        <v>390</v>
      </c>
      <c r="F293" s="87" t="s">
        <v>1037</v>
      </c>
      <c r="G293" s="88" t="s">
        <v>392</v>
      </c>
      <c r="H293" s="89" t="s">
        <v>16</v>
      </c>
      <c r="I293" s="7" t="s">
        <v>1035</v>
      </c>
    </row>
    <row r="294" spans="1:9" ht="15.75" customHeight="1" x14ac:dyDescent="0.2">
      <c r="A294" s="77" t="s">
        <v>392</v>
      </c>
      <c r="B294" s="78" t="s">
        <v>1038</v>
      </c>
      <c r="C294" s="79" t="s">
        <v>1039</v>
      </c>
      <c r="D294" s="11" t="s">
        <v>13</v>
      </c>
      <c r="E294" s="80" t="s">
        <v>1040</v>
      </c>
      <c r="F294" s="81" t="s">
        <v>1041</v>
      </c>
      <c r="G294" s="82" t="s">
        <v>392</v>
      </c>
      <c r="H294" s="83" t="s">
        <v>16</v>
      </c>
      <c r="I294" s="7" t="s">
        <v>1038</v>
      </c>
    </row>
    <row r="295" spans="1:9" ht="15.75" customHeight="1" x14ac:dyDescent="0.2">
      <c r="A295" s="77" t="s">
        <v>392</v>
      </c>
      <c r="B295" s="84" t="s">
        <v>1042</v>
      </c>
      <c r="C295" s="85" t="s">
        <v>1043</v>
      </c>
      <c r="D295" s="11" t="s">
        <v>13</v>
      </c>
      <c r="E295" s="86" t="s">
        <v>1044</v>
      </c>
      <c r="F295" s="87" t="s">
        <v>1045</v>
      </c>
      <c r="G295" s="88" t="s">
        <v>392</v>
      </c>
      <c r="H295" s="89" t="s">
        <v>16</v>
      </c>
      <c r="I295" s="7" t="s">
        <v>1042</v>
      </c>
    </row>
    <row r="296" spans="1:9" ht="15.75" customHeight="1" x14ac:dyDescent="0.2">
      <c r="A296" s="77" t="s">
        <v>392</v>
      </c>
      <c r="B296" s="78" t="s">
        <v>883</v>
      </c>
      <c r="C296" s="79" t="s">
        <v>1046</v>
      </c>
      <c r="D296" s="23" t="s">
        <v>120</v>
      </c>
      <c r="E296" s="80" t="s">
        <v>1047</v>
      </c>
      <c r="F296" s="81" t="s">
        <v>1048</v>
      </c>
      <c r="G296" s="82" t="s">
        <v>392</v>
      </c>
      <c r="H296" s="24" t="s">
        <v>1049</v>
      </c>
      <c r="I296" s="7" t="s">
        <v>883</v>
      </c>
    </row>
    <row r="297" spans="1:9" ht="15.75" customHeight="1" x14ac:dyDescent="0.2">
      <c r="A297" s="77" t="s">
        <v>392</v>
      </c>
      <c r="B297" s="84" t="s">
        <v>1050</v>
      </c>
      <c r="C297" s="85" t="s">
        <v>1051</v>
      </c>
      <c r="D297" s="11" t="s">
        <v>13</v>
      </c>
      <c r="E297" s="86" t="s">
        <v>1047</v>
      </c>
      <c r="F297" s="87" t="s">
        <v>1052</v>
      </c>
      <c r="G297" s="88" t="s">
        <v>392</v>
      </c>
      <c r="H297" s="89" t="s">
        <v>16</v>
      </c>
      <c r="I297" s="7" t="s">
        <v>1050</v>
      </c>
    </row>
    <row r="298" spans="1:9" ht="15.75" customHeight="1" x14ac:dyDescent="0.2">
      <c r="A298" s="77" t="s">
        <v>392</v>
      </c>
      <c r="B298" s="78" t="s">
        <v>1053</v>
      </c>
      <c r="C298" s="79" t="s">
        <v>1054</v>
      </c>
      <c r="D298" s="11" t="s">
        <v>13</v>
      </c>
      <c r="E298" s="80" t="s">
        <v>1047</v>
      </c>
      <c r="F298" s="81" t="s">
        <v>1052</v>
      </c>
      <c r="G298" s="82" t="s">
        <v>392</v>
      </c>
      <c r="H298" s="83" t="s">
        <v>16</v>
      </c>
      <c r="I298" s="7" t="s">
        <v>1053</v>
      </c>
    </row>
    <row r="299" spans="1:9" ht="15.75" customHeight="1" x14ac:dyDescent="0.2">
      <c r="A299" s="77" t="s">
        <v>392</v>
      </c>
      <c r="B299" s="84" t="s">
        <v>1055</v>
      </c>
      <c r="C299" s="85" t="s">
        <v>1056</v>
      </c>
      <c r="D299" s="11" t="s">
        <v>13</v>
      </c>
      <c r="E299" s="86" t="s">
        <v>1055</v>
      </c>
      <c r="F299" s="87" t="s">
        <v>1057</v>
      </c>
      <c r="G299" s="88" t="s">
        <v>392</v>
      </c>
      <c r="H299" s="89" t="s">
        <v>16</v>
      </c>
      <c r="I299" s="7" t="s">
        <v>1055</v>
      </c>
    </row>
    <row r="300" spans="1:9" ht="15.75" customHeight="1" x14ac:dyDescent="0.2">
      <c r="A300" s="77" t="s">
        <v>392</v>
      </c>
      <c r="B300" s="78" t="s">
        <v>1058</v>
      </c>
      <c r="C300" s="79" t="s">
        <v>1059</v>
      </c>
      <c r="D300" s="11" t="s">
        <v>13</v>
      </c>
      <c r="E300" s="80" t="s">
        <v>1060</v>
      </c>
      <c r="F300" s="81" t="s">
        <v>1061</v>
      </c>
      <c r="G300" s="82" t="s">
        <v>392</v>
      </c>
      <c r="H300" s="83" t="s">
        <v>16</v>
      </c>
      <c r="I300" s="7" t="s">
        <v>1058</v>
      </c>
    </row>
    <row r="301" spans="1:9" ht="15.75" customHeight="1" x14ac:dyDescent="0.2">
      <c r="A301" s="77" t="s">
        <v>392</v>
      </c>
      <c r="B301" s="84" t="s">
        <v>1062</v>
      </c>
      <c r="C301" s="85" t="s">
        <v>1063</v>
      </c>
      <c r="D301" s="11" t="s">
        <v>13</v>
      </c>
      <c r="E301" s="86" t="s">
        <v>1064</v>
      </c>
      <c r="F301" s="87" t="s">
        <v>1065</v>
      </c>
      <c r="G301" s="88" t="s">
        <v>392</v>
      </c>
      <c r="H301" s="89" t="s">
        <v>16</v>
      </c>
      <c r="I301" s="7" t="s">
        <v>1062</v>
      </c>
    </row>
    <row r="302" spans="1:9" ht="15.75" customHeight="1" x14ac:dyDescent="0.2">
      <c r="A302" s="77" t="s">
        <v>392</v>
      </c>
      <c r="B302" s="78" t="s">
        <v>1066</v>
      </c>
      <c r="C302" s="79" t="s">
        <v>1067</v>
      </c>
      <c r="D302" s="11" t="s">
        <v>13</v>
      </c>
      <c r="E302" s="80" t="s">
        <v>1068</v>
      </c>
      <c r="F302" s="81" t="s">
        <v>1069</v>
      </c>
      <c r="G302" s="82" t="s">
        <v>392</v>
      </c>
      <c r="H302" s="83" t="s">
        <v>1070</v>
      </c>
      <c r="I302" s="7" t="s">
        <v>1066</v>
      </c>
    </row>
    <row r="303" spans="1:9" ht="15.75" customHeight="1" x14ac:dyDescent="0.2">
      <c r="A303" s="77" t="s">
        <v>392</v>
      </c>
      <c r="B303" s="84" t="s">
        <v>1071</v>
      </c>
      <c r="C303" s="85" t="s">
        <v>1072</v>
      </c>
      <c r="D303" s="11" t="s">
        <v>13</v>
      </c>
      <c r="E303" s="86" t="s">
        <v>1073</v>
      </c>
      <c r="F303" s="87" t="s">
        <v>1074</v>
      </c>
      <c r="G303" s="88" t="s">
        <v>392</v>
      </c>
      <c r="H303" s="89" t="s">
        <v>16</v>
      </c>
      <c r="I303" s="7" t="s">
        <v>1071</v>
      </c>
    </row>
    <row r="304" spans="1:9" ht="15.75" customHeight="1" x14ac:dyDescent="0.2">
      <c r="A304" s="77" t="s">
        <v>392</v>
      </c>
      <c r="B304" s="78" t="s">
        <v>1075</v>
      </c>
      <c r="C304" s="79" t="s">
        <v>1076</v>
      </c>
      <c r="D304" s="11" t="s">
        <v>13</v>
      </c>
      <c r="E304" s="80" t="s">
        <v>1077</v>
      </c>
      <c r="F304" s="81" t="s">
        <v>1078</v>
      </c>
      <c r="G304" s="82" t="s">
        <v>392</v>
      </c>
      <c r="H304" s="83" t="s">
        <v>16</v>
      </c>
      <c r="I304" s="7" t="s">
        <v>1075</v>
      </c>
    </row>
    <row r="305" spans="1:9" ht="15.75" customHeight="1" x14ac:dyDescent="0.2">
      <c r="A305" s="77" t="s">
        <v>392</v>
      </c>
      <c r="B305" s="84" t="s">
        <v>1079</v>
      </c>
      <c r="C305" s="85" t="s">
        <v>1080</v>
      </c>
      <c r="D305" s="11" t="s">
        <v>13</v>
      </c>
      <c r="E305" s="86" t="s">
        <v>1081</v>
      </c>
      <c r="F305" s="87" t="s">
        <v>1082</v>
      </c>
      <c r="G305" s="88" t="s">
        <v>392</v>
      </c>
      <c r="H305" s="89" t="s">
        <v>16</v>
      </c>
      <c r="I305" s="7" t="s">
        <v>1079</v>
      </c>
    </row>
    <row r="306" spans="1:9" ht="15.75" customHeight="1" x14ac:dyDescent="0.2">
      <c r="A306" s="77" t="s">
        <v>392</v>
      </c>
      <c r="B306" s="78" t="s">
        <v>1083</v>
      </c>
      <c r="C306" s="79" t="s">
        <v>1084</v>
      </c>
      <c r="D306" s="11" t="s">
        <v>13</v>
      </c>
      <c r="E306" s="80" t="s">
        <v>1085</v>
      </c>
      <c r="F306" s="81" t="s">
        <v>108</v>
      </c>
      <c r="G306" s="82" t="s">
        <v>392</v>
      </c>
      <c r="H306" s="83" t="s">
        <v>16</v>
      </c>
      <c r="I306" s="7" t="s">
        <v>1083</v>
      </c>
    </row>
    <row r="307" spans="1:9" ht="15.75" customHeight="1" x14ac:dyDescent="0.2">
      <c r="A307" s="77" t="s">
        <v>392</v>
      </c>
      <c r="B307" s="84" t="s">
        <v>1086</v>
      </c>
      <c r="C307" s="85" t="s">
        <v>1087</v>
      </c>
      <c r="D307" s="23" t="s">
        <v>120</v>
      </c>
      <c r="E307" s="86" t="s">
        <v>1088</v>
      </c>
      <c r="F307" s="87" t="s">
        <v>1089</v>
      </c>
      <c r="G307" s="88" t="s">
        <v>392</v>
      </c>
      <c r="H307" s="24" t="s">
        <v>1090</v>
      </c>
      <c r="I307" s="7" t="s">
        <v>1086</v>
      </c>
    </row>
    <row r="308" spans="1:9" ht="15.75" customHeight="1" x14ac:dyDescent="0.2">
      <c r="A308" s="77" t="s">
        <v>392</v>
      </c>
      <c r="B308" s="78" t="s">
        <v>1091</v>
      </c>
      <c r="C308" s="79" t="s">
        <v>1092</v>
      </c>
      <c r="D308" s="23" t="s">
        <v>120</v>
      </c>
      <c r="E308" s="80" t="s">
        <v>1093</v>
      </c>
      <c r="F308" s="81" t="s">
        <v>1094</v>
      </c>
      <c r="G308" s="82" t="s">
        <v>392</v>
      </c>
      <c r="H308" s="24" t="s">
        <v>1095</v>
      </c>
      <c r="I308" s="7" t="s">
        <v>1091</v>
      </c>
    </row>
    <row r="309" spans="1:9" ht="21.75" customHeight="1" x14ac:dyDescent="0.2">
      <c r="A309" s="174" t="s">
        <v>1096</v>
      </c>
      <c r="B309" s="174"/>
      <c r="C309" s="174"/>
      <c r="D309" s="174"/>
      <c r="E309" s="174"/>
      <c r="F309" s="174"/>
      <c r="G309" s="174"/>
      <c r="H309" s="174"/>
      <c r="I309" s="7"/>
    </row>
    <row r="310" spans="1:9" ht="15.75" customHeight="1" x14ac:dyDescent="0.2">
      <c r="A310" s="90" t="s">
        <v>1097</v>
      </c>
      <c r="B310" s="91" t="s">
        <v>1098</v>
      </c>
      <c r="C310" s="92" t="s">
        <v>1099</v>
      </c>
      <c r="D310" s="11" t="s">
        <v>13</v>
      </c>
      <c r="E310" s="93" t="s">
        <v>1100</v>
      </c>
      <c r="F310" s="94" t="s">
        <v>1099</v>
      </c>
      <c r="G310" s="95" t="s">
        <v>1097</v>
      </c>
      <c r="H310" s="96" t="s">
        <v>16</v>
      </c>
      <c r="I310" s="7" t="s">
        <v>1098</v>
      </c>
    </row>
    <row r="311" spans="1:9" ht="15.75" customHeight="1" x14ac:dyDescent="0.2">
      <c r="A311" s="90" t="s">
        <v>1097</v>
      </c>
      <c r="B311" s="97" t="s">
        <v>1101</v>
      </c>
      <c r="C311" s="98" t="s">
        <v>1102</v>
      </c>
      <c r="D311" s="11" t="s">
        <v>13</v>
      </c>
      <c r="E311" s="99" t="s">
        <v>1103</v>
      </c>
      <c r="F311" s="100" t="s">
        <v>1104</v>
      </c>
      <c r="G311" s="101" t="s">
        <v>1097</v>
      </c>
      <c r="H311" s="102" t="s">
        <v>16</v>
      </c>
      <c r="I311" s="7" t="s">
        <v>1101</v>
      </c>
    </row>
    <row r="312" spans="1:9" ht="15.75" customHeight="1" x14ac:dyDescent="0.2">
      <c r="A312" s="90" t="s">
        <v>1097</v>
      </c>
      <c r="B312" s="91" t="s">
        <v>1105</v>
      </c>
      <c r="C312" s="92" t="s">
        <v>1106</v>
      </c>
      <c r="D312" s="11" t="s">
        <v>13</v>
      </c>
      <c r="E312" s="93" t="s">
        <v>1107</v>
      </c>
      <c r="F312" s="94" t="s">
        <v>1106</v>
      </c>
      <c r="G312" s="95" t="s">
        <v>1097</v>
      </c>
      <c r="H312" s="96" t="s">
        <v>16</v>
      </c>
      <c r="I312" s="7" t="s">
        <v>1105</v>
      </c>
    </row>
    <row r="313" spans="1:9" ht="15.75" customHeight="1" x14ac:dyDescent="0.2">
      <c r="A313" s="90" t="s">
        <v>1097</v>
      </c>
      <c r="B313" s="97" t="s">
        <v>1108</v>
      </c>
      <c r="C313" s="98" t="s">
        <v>1109</v>
      </c>
      <c r="D313" s="11" t="s">
        <v>13</v>
      </c>
      <c r="E313" s="99" t="s">
        <v>1110</v>
      </c>
      <c r="F313" s="100" t="s">
        <v>1111</v>
      </c>
      <c r="G313" s="101" t="s">
        <v>1097</v>
      </c>
      <c r="H313" s="102" t="s">
        <v>16</v>
      </c>
      <c r="I313" s="7" t="s">
        <v>1108</v>
      </c>
    </row>
    <row r="314" spans="1:9" ht="15.75" customHeight="1" x14ac:dyDescent="0.2">
      <c r="A314" s="90" t="s">
        <v>1097</v>
      </c>
      <c r="B314" s="91" t="s">
        <v>1112</v>
      </c>
      <c r="C314" s="92" t="s">
        <v>1113</v>
      </c>
      <c r="D314" s="11" t="s">
        <v>13</v>
      </c>
      <c r="E314" s="93" t="s">
        <v>1114</v>
      </c>
      <c r="F314" s="94" t="s">
        <v>1113</v>
      </c>
      <c r="G314" s="95" t="s">
        <v>1097</v>
      </c>
      <c r="H314" s="96" t="s">
        <v>16</v>
      </c>
      <c r="I314" s="7" t="s">
        <v>1112</v>
      </c>
    </row>
    <row r="315" spans="1:9" ht="15.75" customHeight="1" x14ac:dyDescent="0.2">
      <c r="A315" s="90" t="s">
        <v>1097</v>
      </c>
      <c r="B315" s="97" t="s">
        <v>1115</v>
      </c>
      <c r="C315" s="98" t="s">
        <v>882</v>
      </c>
      <c r="D315" s="23" t="s">
        <v>120</v>
      </c>
      <c r="E315" s="99" t="s">
        <v>1116</v>
      </c>
      <c r="F315" s="100" t="s">
        <v>884</v>
      </c>
      <c r="G315" s="101" t="s">
        <v>1097</v>
      </c>
      <c r="H315" s="24" t="s">
        <v>1117</v>
      </c>
      <c r="I315" s="7" t="s">
        <v>1115</v>
      </c>
    </row>
    <row r="316" spans="1:9" ht="15.75" customHeight="1" x14ac:dyDescent="0.2">
      <c r="A316" s="90" t="s">
        <v>1097</v>
      </c>
      <c r="B316" s="91" t="s">
        <v>1118</v>
      </c>
      <c r="C316" s="92" t="s">
        <v>1119</v>
      </c>
      <c r="D316" s="11" t="s">
        <v>13</v>
      </c>
      <c r="E316" s="93" t="s">
        <v>1120</v>
      </c>
      <c r="F316" s="94" t="s">
        <v>1121</v>
      </c>
      <c r="G316" s="95" t="s">
        <v>1097</v>
      </c>
      <c r="H316" s="96" t="s">
        <v>16</v>
      </c>
      <c r="I316" s="7" t="s">
        <v>1118</v>
      </c>
    </row>
    <row r="317" spans="1:9" ht="15.75" customHeight="1" x14ac:dyDescent="0.2">
      <c r="A317" s="90" t="s">
        <v>1097</v>
      </c>
      <c r="B317" s="97" t="s">
        <v>1122</v>
      </c>
      <c r="C317" s="98" t="s">
        <v>1123</v>
      </c>
      <c r="D317" s="11" t="s">
        <v>13</v>
      </c>
      <c r="E317" s="99" t="s">
        <v>1124</v>
      </c>
      <c r="F317" s="100" t="s">
        <v>872</v>
      </c>
      <c r="G317" s="101" t="s">
        <v>1097</v>
      </c>
      <c r="H317" s="102" t="s">
        <v>16</v>
      </c>
      <c r="I317" s="7" t="s">
        <v>1122</v>
      </c>
    </row>
    <row r="318" spans="1:9" ht="15.75" customHeight="1" x14ac:dyDescent="0.2">
      <c r="A318" s="90" t="s">
        <v>1097</v>
      </c>
      <c r="B318" s="91" t="s">
        <v>1125</v>
      </c>
      <c r="C318" s="92" t="s">
        <v>1126</v>
      </c>
      <c r="D318" s="11" t="s">
        <v>13</v>
      </c>
      <c r="E318" s="93" t="s">
        <v>1127</v>
      </c>
      <c r="F318" s="94" t="s">
        <v>1126</v>
      </c>
      <c r="G318" s="95" t="s">
        <v>1097</v>
      </c>
      <c r="H318" s="96" t="s">
        <v>16</v>
      </c>
      <c r="I318" s="7" t="s">
        <v>1125</v>
      </c>
    </row>
    <row r="319" spans="1:9" ht="15.75" customHeight="1" x14ac:dyDescent="0.2">
      <c r="A319" s="90" t="s">
        <v>1097</v>
      </c>
      <c r="B319" s="97" t="s">
        <v>1128</v>
      </c>
      <c r="C319" s="98" t="s">
        <v>1129</v>
      </c>
      <c r="D319" s="11" t="s">
        <v>13</v>
      </c>
      <c r="E319" s="99" t="s">
        <v>1130</v>
      </c>
      <c r="F319" s="100" t="s">
        <v>1131</v>
      </c>
      <c r="G319" s="101" t="s">
        <v>1097</v>
      </c>
      <c r="H319" s="102" t="s">
        <v>16</v>
      </c>
      <c r="I319" s="7" t="s">
        <v>1128</v>
      </c>
    </row>
    <row r="320" spans="1:9" ht="15.75" customHeight="1" x14ac:dyDescent="0.2">
      <c r="A320" s="90" t="s">
        <v>1097</v>
      </c>
      <c r="B320" s="91" t="s">
        <v>1132</v>
      </c>
      <c r="C320" s="92" t="s">
        <v>1133</v>
      </c>
      <c r="D320" s="11" t="s">
        <v>13</v>
      </c>
      <c r="E320" s="93" t="s">
        <v>1134</v>
      </c>
      <c r="F320" s="94" t="s">
        <v>1135</v>
      </c>
      <c r="G320" s="95" t="s">
        <v>1097</v>
      </c>
      <c r="H320" s="96" t="s">
        <v>16</v>
      </c>
      <c r="I320" s="7" t="s">
        <v>1132</v>
      </c>
    </row>
    <row r="321" spans="1:9" ht="15.75" customHeight="1" x14ac:dyDescent="0.2">
      <c r="A321" s="90" t="s">
        <v>1097</v>
      </c>
      <c r="B321" s="97" t="s">
        <v>1136</v>
      </c>
      <c r="C321" s="98" t="s">
        <v>1137</v>
      </c>
      <c r="D321" s="11" t="s">
        <v>13</v>
      </c>
      <c r="E321" s="99" t="s">
        <v>1138</v>
      </c>
      <c r="F321" s="100" t="s">
        <v>1137</v>
      </c>
      <c r="G321" s="101" t="s">
        <v>1097</v>
      </c>
      <c r="H321" s="102" t="s">
        <v>16</v>
      </c>
      <c r="I321" s="7" t="s">
        <v>1136</v>
      </c>
    </row>
    <row r="322" spans="1:9" ht="15.75" customHeight="1" x14ac:dyDescent="0.2">
      <c r="A322" s="90" t="s">
        <v>1097</v>
      </c>
      <c r="B322" s="91" t="s">
        <v>1139</v>
      </c>
      <c r="C322" s="92" t="s">
        <v>1140</v>
      </c>
      <c r="D322" s="11" t="s">
        <v>13</v>
      </c>
      <c r="E322" s="93" t="s">
        <v>1141</v>
      </c>
      <c r="F322" s="94" t="s">
        <v>1142</v>
      </c>
      <c r="G322" s="95" t="s">
        <v>1097</v>
      </c>
      <c r="H322" s="96" t="s">
        <v>16</v>
      </c>
      <c r="I322" s="7" t="s">
        <v>1139</v>
      </c>
    </row>
    <row r="323" spans="1:9" ht="15.75" customHeight="1" x14ac:dyDescent="0.2">
      <c r="A323" s="90" t="s">
        <v>1097</v>
      </c>
      <c r="B323" s="97" t="s">
        <v>1143</v>
      </c>
      <c r="C323" s="98" t="s">
        <v>1144</v>
      </c>
      <c r="D323" s="11" t="s">
        <v>13</v>
      </c>
      <c r="E323" s="99" t="s">
        <v>1145</v>
      </c>
      <c r="F323" s="100" t="s">
        <v>995</v>
      </c>
      <c r="G323" s="101" t="s">
        <v>1097</v>
      </c>
      <c r="H323" s="102" t="s">
        <v>16</v>
      </c>
      <c r="I323" s="7" t="s">
        <v>1143</v>
      </c>
    </row>
    <row r="324" spans="1:9" ht="15.75" customHeight="1" x14ac:dyDescent="0.2">
      <c r="A324" s="90" t="s">
        <v>1097</v>
      </c>
      <c r="B324" s="91" t="s">
        <v>1146</v>
      </c>
      <c r="C324" s="92" t="s">
        <v>1147</v>
      </c>
      <c r="D324" s="11" t="s">
        <v>13</v>
      </c>
      <c r="E324" s="93" t="s">
        <v>1148</v>
      </c>
      <c r="F324" s="94" t="s">
        <v>999</v>
      </c>
      <c r="G324" s="95" t="s">
        <v>1097</v>
      </c>
      <c r="H324" s="96" t="s">
        <v>16</v>
      </c>
      <c r="I324" s="7" t="s">
        <v>1146</v>
      </c>
    </row>
    <row r="325" spans="1:9" ht="15.75" customHeight="1" x14ac:dyDescent="0.2">
      <c r="A325" s="90" t="s">
        <v>1097</v>
      </c>
      <c r="B325" s="97" t="s">
        <v>1149</v>
      </c>
      <c r="C325" s="98" t="s">
        <v>1150</v>
      </c>
      <c r="D325" s="11" t="s">
        <v>13</v>
      </c>
      <c r="E325" s="99" t="s">
        <v>1151</v>
      </c>
      <c r="F325" s="100" t="s">
        <v>1152</v>
      </c>
      <c r="G325" s="101" t="s">
        <v>1097</v>
      </c>
      <c r="H325" s="102" t="s">
        <v>16</v>
      </c>
      <c r="I325" s="7" t="s">
        <v>1149</v>
      </c>
    </row>
    <row r="326" spans="1:9" ht="15.75" customHeight="1" x14ac:dyDescent="0.2">
      <c r="A326" s="90" t="s">
        <v>1097</v>
      </c>
      <c r="B326" s="91" t="s">
        <v>1153</v>
      </c>
      <c r="C326" s="92" t="s">
        <v>1154</v>
      </c>
      <c r="D326" s="11" t="s">
        <v>13</v>
      </c>
      <c r="E326" s="93" t="s">
        <v>1155</v>
      </c>
      <c r="F326" s="94" t="s">
        <v>1156</v>
      </c>
      <c r="G326" s="95" t="s">
        <v>1097</v>
      </c>
      <c r="H326" s="96" t="s">
        <v>16</v>
      </c>
      <c r="I326" s="7" t="s">
        <v>1153</v>
      </c>
    </row>
    <row r="327" spans="1:9" ht="15.75" customHeight="1" x14ac:dyDescent="0.2">
      <c r="A327" s="90" t="s">
        <v>1097</v>
      </c>
      <c r="B327" s="97" t="s">
        <v>1157</v>
      </c>
      <c r="C327" s="98" t="s">
        <v>1158</v>
      </c>
      <c r="D327" s="11" t="s">
        <v>13</v>
      </c>
      <c r="E327" s="99" t="s">
        <v>1159</v>
      </c>
      <c r="F327" s="100" t="s">
        <v>1160</v>
      </c>
      <c r="G327" s="101" t="s">
        <v>1097</v>
      </c>
      <c r="H327" s="102" t="s">
        <v>16</v>
      </c>
      <c r="I327" s="7" t="s">
        <v>1157</v>
      </c>
    </row>
    <row r="328" spans="1:9" ht="15.75" customHeight="1" x14ac:dyDescent="0.2">
      <c r="A328" s="90" t="s">
        <v>1097</v>
      </c>
      <c r="B328" s="91" t="s">
        <v>1161</v>
      </c>
      <c r="C328" s="92" t="s">
        <v>1162</v>
      </c>
      <c r="D328" s="11" t="s">
        <v>13</v>
      </c>
      <c r="E328" s="93" t="s">
        <v>1163</v>
      </c>
      <c r="F328" s="94" t="s">
        <v>1164</v>
      </c>
      <c r="G328" s="95" t="s">
        <v>1097</v>
      </c>
      <c r="H328" s="96" t="s">
        <v>16</v>
      </c>
      <c r="I328" s="7" t="s">
        <v>1161</v>
      </c>
    </row>
    <row r="329" spans="1:9" ht="15.75" customHeight="1" x14ac:dyDescent="0.2">
      <c r="A329" s="90" t="s">
        <v>1097</v>
      </c>
      <c r="B329" s="97" t="s">
        <v>1165</v>
      </c>
      <c r="C329" s="98" t="s">
        <v>1166</v>
      </c>
      <c r="D329" s="11" t="s">
        <v>13</v>
      </c>
      <c r="E329" s="99" t="s">
        <v>1167</v>
      </c>
      <c r="F329" s="100" t="s">
        <v>1166</v>
      </c>
      <c r="G329" s="101" t="s">
        <v>1097</v>
      </c>
      <c r="H329" s="102" t="s">
        <v>16</v>
      </c>
      <c r="I329" s="7" t="s">
        <v>1165</v>
      </c>
    </row>
    <row r="330" spans="1:9" ht="15.75" customHeight="1" x14ac:dyDescent="0.2">
      <c r="A330" s="90" t="s">
        <v>1097</v>
      </c>
      <c r="B330" s="91" t="s">
        <v>1168</v>
      </c>
      <c r="C330" s="92" t="s">
        <v>1169</v>
      </c>
      <c r="D330" s="11" t="s">
        <v>13</v>
      </c>
      <c r="E330" s="93" t="s">
        <v>1170</v>
      </c>
      <c r="F330" s="94" t="s">
        <v>1171</v>
      </c>
      <c r="G330" s="95" t="s">
        <v>1097</v>
      </c>
      <c r="H330" s="96" t="s">
        <v>16</v>
      </c>
      <c r="I330" s="7" t="s">
        <v>1168</v>
      </c>
    </row>
    <row r="331" spans="1:9" ht="15.75" customHeight="1" x14ac:dyDescent="0.2">
      <c r="A331" s="90" t="s">
        <v>1097</v>
      </c>
      <c r="B331" s="97" t="s">
        <v>1172</v>
      </c>
      <c r="C331" s="98" t="s">
        <v>1173</v>
      </c>
      <c r="D331" s="11" t="s">
        <v>13</v>
      </c>
      <c r="E331" s="99" t="s">
        <v>1174</v>
      </c>
      <c r="F331" s="100" t="s">
        <v>1175</v>
      </c>
      <c r="G331" s="101" t="s">
        <v>1097</v>
      </c>
      <c r="H331" s="102" t="s">
        <v>16</v>
      </c>
      <c r="I331" s="7" t="s">
        <v>1172</v>
      </c>
    </row>
    <row r="332" spans="1:9" ht="15.75" customHeight="1" x14ac:dyDescent="0.2">
      <c r="A332" s="90" t="s">
        <v>1097</v>
      </c>
      <c r="B332" s="91" t="s">
        <v>1176</v>
      </c>
      <c r="C332" s="92" t="s">
        <v>1177</v>
      </c>
      <c r="D332" s="11" t="s">
        <v>13</v>
      </c>
      <c r="E332" s="93" t="s">
        <v>1178</v>
      </c>
      <c r="F332" s="94" t="s">
        <v>1179</v>
      </c>
      <c r="G332" s="95" t="s">
        <v>1097</v>
      </c>
      <c r="H332" s="96" t="s">
        <v>16</v>
      </c>
      <c r="I332" s="7" t="s">
        <v>1176</v>
      </c>
    </row>
    <row r="333" spans="1:9" ht="15.75" customHeight="1" x14ac:dyDescent="0.2">
      <c r="A333" s="90" t="s">
        <v>1097</v>
      </c>
      <c r="B333" s="97" t="s">
        <v>1180</v>
      </c>
      <c r="C333" s="98" t="s">
        <v>1181</v>
      </c>
      <c r="D333" s="11" t="s">
        <v>13</v>
      </c>
      <c r="E333" s="99" t="s">
        <v>1182</v>
      </c>
      <c r="F333" s="100" t="s">
        <v>1181</v>
      </c>
      <c r="G333" s="101" t="s">
        <v>1097</v>
      </c>
      <c r="H333" s="102" t="s">
        <v>16</v>
      </c>
      <c r="I333" s="7" t="s">
        <v>1180</v>
      </c>
    </row>
    <row r="334" spans="1:9" ht="15.75" customHeight="1" x14ac:dyDescent="0.2">
      <c r="A334" s="90" t="s">
        <v>1097</v>
      </c>
      <c r="B334" s="91" t="s">
        <v>1183</v>
      </c>
      <c r="C334" s="92" t="s">
        <v>1184</v>
      </c>
      <c r="D334" s="11" t="s">
        <v>13</v>
      </c>
      <c r="E334" s="93" t="s">
        <v>1185</v>
      </c>
      <c r="F334" s="94" t="s">
        <v>1186</v>
      </c>
      <c r="G334" s="95" t="s">
        <v>1097</v>
      </c>
      <c r="H334" s="96" t="s">
        <v>16</v>
      </c>
      <c r="I334" s="7" t="s">
        <v>1183</v>
      </c>
    </row>
    <row r="335" spans="1:9" ht="15.75" customHeight="1" x14ac:dyDescent="0.2">
      <c r="A335" s="90" t="s">
        <v>1097</v>
      </c>
      <c r="B335" s="97" t="s">
        <v>1187</v>
      </c>
      <c r="C335" s="98" t="s">
        <v>1188</v>
      </c>
      <c r="D335" s="11" t="s">
        <v>13</v>
      </c>
      <c r="E335" s="99" t="s">
        <v>1189</v>
      </c>
      <c r="F335" s="100" t="s">
        <v>1190</v>
      </c>
      <c r="G335" s="101" t="s">
        <v>1097</v>
      </c>
      <c r="H335" s="102" t="s">
        <v>16</v>
      </c>
      <c r="I335" s="7" t="s">
        <v>1187</v>
      </c>
    </row>
    <row r="336" spans="1:9" ht="15.75" customHeight="1" x14ac:dyDescent="0.2">
      <c r="A336" s="90" t="s">
        <v>1097</v>
      </c>
      <c r="B336" s="91" t="s">
        <v>1191</v>
      </c>
      <c r="C336" s="92" t="s">
        <v>1192</v>
      </c>
      <c r="D336" s="11" t="s">
        <v>13</v>
      </c>
      <c r="E336" s="93" t="s">
        <v>1193</v>
      </c>
      <c r="F336" s="94" t="s">
        <v>1192</v>
      </c>
      <c r="G336" s="95" t="s">
        <v>1097</v>
      </c>
      <c r="H336" s="96" t="s">
        <v>16</v>
      </c>
      <c r="I336" s="7" t="s">
        <v>1191</v>
      </c>
    </row>
    <row r="337" spans="1:9" ht="15.75" customHeight="1" x14ac:dyDescent="0.2">
      <c r="A337" s="90" t="s">
        <v>1097</v>
      </c>
      <c r="B337" s="97" t="s">
        <v>1194</v>
      </c>
      <c r="C337" s="98" t="s">
        <v>1195</v>
      </c>
      <c r="D337" s="11" t="s">
        <v>13</v>
      </c>
      <c r="E337" s="99" t="s">
        <v>1196</v>
      </c>
      <c r="F337" s="100" t="s">
        <v>1197</v>
      </c>
      <c r="G337" s="101" t="s">
        <v>1097</v>
      </c>
      <c r="H337" s="102" t="s">
        <v>16</v>
      </c>
      <c r="I337" s="7" t="s">
        <v>1194</v>
      </c>
    </row>
    <row r="338" spans="1:9" ht="15.75" customHeight="1" x14ac:dyDescent="0.2">
      <c r="A338" s="90" t="s">
        <v>1097</v>
      </c>
      <c r="B338" s="91" t="s">
        <v>1116</v>
      </c>
      <c r="C338" s="92" t="s">
        <v>1198</v>
      </c>
      <c r="D338" s="23" t="s">
        <v>120</v>
      </c>
      <c r="E338" s="93" t="s">
        <v>1199</v>
      </c>
      <c r="F338" s="94" t="s">
        <v>1200</v>
      </c>
      <c r="G338" s="95" t="s">
        <v>1097</v>
      </c>
      <c r="H338" s="24" t="s">
        <v>1201</v>
      </c>
      <c r="I338" s="7" t="s">
        <v>1116</v>
      </c>
    </row>
    <row r="339" spans="1:9" ht="15.75" customHeight="1" x14ac:dyDescent="0.2">
      <c r="A339" s="90" t="s">
        <v>1097</v>
      </c>
      <c r="B339" s="97" t="s">
        <v>1202</v>
      </c>
      <c r="C339" s="98" t="s">
        <v>1203</v>
      </c>
      <c r="D339" s="11" t="s">
        <v>13</v>
      </c>
      <c r="E339" s="99" t="s">
        <v>1199</v>
      </c>
      <c r="F339" s="100" t="s">
        <v>1198</v>
      </c>
      <c r="G339" s="101" t="s">
        <v>1097</v>
      </c>
      <c r="H339" s="102" t="s">
        <v>16</v>
      </c>
      <c r="I339" s="7" t="s">
        <v>1202</v>
      </c>
    </row>
    <row r="340" spans="1:9" ht="15.75" customHeight="1" x14ac:dyDescent="0.2">
      <c r="A340" s="90" t="s">
        <v>1097</v>
      </c>
      <c r="B340" s="91" t="s">
        <v>1204</v>
      </c>
      <c r="C340" s="92" t="s">
        <v>1205</v>
      </c>
      <c r="D340" s="11" t="s">
        <v>13</v>
      </c>
      <c r="E340" s="93" t="s">
        <v>1199</v>
      </c>
      <c r="F340" s="94" t="s">
        <v>1198</v>
      </c>
      <c r="G340" s="95" t="s">
        <v>1097</v>
      </c>
      <c r="H340" s="96" t="s">
        <v>16</v>
      </c>
      <c r="I340" s="7" t="s">
        <v>1204</v>
      </c>
    </row>
    <row r="341" spans="1:9" ht="15.75" customHeight="1" x14ac:dyDescent="0.2">
      <c r="A341" s="90" t="s">
        <v>1097</v>
      </c>
      <c r="B341" s="97" t="s">
        <v>1206</v>
      </c>
      <c r="C341" s="98" t="s">
        <v>1207</v>
      </c>
      <c r="D341" s="11" t="s">
        <v>13</v>
      </c>
      <c r="E341" s="99" t="s">
        <v>1208</v>
      </c>
      <c r="F341" s="100" t="s">
        <v>1207</v>
      </c>
      <c r="G341" s="101" t="s">
        <v>1097</v>
      </c>
      <c r="H341" s="102" t="s">
        <v>16</v>
      </c>
      <c r="I341" s="7" t="s">
        <v>1206</v>
      </c>
    </row>
    <row r="342" spans="1:9" ht="15.75" customHeight="1" x14ac:dyDescent="0.2">
      <c r="A342" s="90" t="s">
        <v>1097</v>
      </c>
      <c r="B342" s="91" t="s">
        <v>1199</v>
      </c>
      <c r="C342" s="92" t="s">
        <v>1209</v>
      </c>
      <c r="D342" s="11" t="s">
        <v>13</v>
      </c>
      <c r="E342" s="93" t="s">
        <v>1210</v>
      </c>
      <c r="F342" s="94" t="s">
        <v>1211</v>
      </c>
      <c r="G342" s="95" t="s">
        <v>1097</v>
      </c>
      <c r="H342" s="96" t="s">
        <v>16</v>
      </c>
      <c r="I342" s="7" t="s">
        <v>1199</v>
      </c>
    </row>
    <row r="343" spans="1:9" ht="15.75" customHeight="1" x14ac:dyDescent="0.2">
      <c r="A343" s="90" t="s">
        <v>1097</v>
      </c>
      <c r="B343" s="97" t="s">
        <v>1212</v>
      </c>
      <c r="C343" s="98" t="s">
        <v>1213</v>
      </c>
      <c r="D343" s="11" t="s">
        <v>13</v>
      </c>
      <c r="E343" s="99" t="s">
        <v>1212</v>
      </c>
      <c r="F343" s="100" t="s">
        <v>1214</v>
      </c>
      <c r="G343" s="101" t="s">
        <v>1097</v>
      </c>
      <c r="H343" s="102" t="s">
        <v>16</v>
      </c>
      <c r="I343" s="7" t="s">
        <v>1212</v>
      </c>
    </row>
    <row r="344" spans="1:9" ht="15.75" customHeight="1" x14ac:dyDescent="0.2">
      <c r="A344" s="90" t="s">
        <v>1097</v>
      </c>
      <c r="B344" s="91" t="s">
        <v>1215</v>
      </c>
      <c r="C344" s="92" t="s">
        <v>1216</v>
      </c>
      <c r="D344" s="11" t="s">
        <v>13</v>
      </c>
      <c r="E344" s="93" t="s">
        <v>1217</v>
      </c>
      <c r="F344" s="94" t="s">
        <v>1218</v>
      </c>
      <c r="G344" s="95" t="s">
        <v>1097</v>
      </c>
      <c r="H344" s="96" t="s">
        <v>16</v>
      </c>
      <c r="I344" s="7" t="s">
        <v>1215</v>
      </c>
    </row>
    <row r="345" spans="1:9" ht="15.75" customHeight="1" x14ac:dyDescent="0.2">
      <c r="A345" s="90" t="s">
        <v>1097</v>
      </c>
      <c r="B345" s="97" t="s">
        <v>1219</v>
      </c>
      <c r="C345" s="98" t="s">
        <v>1220</v>
      </c>
      <c r="D345" s="11" t="s">
        <v>13</v>
      </c>
      <c r="E345" s="99" t="s">
        <v>1221</v>
      </c>
      <c r="F345" s="100" t="s">
        <v>1222</v>
      </c>
      <c r="G345" s="101" t="s">
        <v>1097</v>
      </c>
      <c r="H345" s="102" t="s">
        <v>16</v>
      </c>
      <c r="I345" s="7" t="s">
        <v>1219</v>
      </c>
    </row>
    <row r="346" spans="1:9" ht="15.75" customHeight="1" x14ac:dyDescent="0.2">
      <c r="A346" s="90" t="s">
        <v>1097</v>
      </c>
      <c r="B346" s="91" t="s">
        <v>1223</v>
      </c>
      <c r="C346" s="92" t="s">
        <v>1224</v>
      </c>
      <c r="D346" s="11" t="s">
        <v>13</v>
      </c>
      <c r="E346" s="93" t="s">
        <v>1215</v>
      </c>
      <c r="F346" s="94" t="s">
        <v>1225</v>
      </c>
      <c r="G346" s="95" t="s">
        <v>1097</v>
      </c>
      <c r="H346" s="96" t="s">
        <v>16</v>
      </c>
      <c r="I346" s="7" t="s">
        <v>1223</v>
      </c>
    </row>
    <row r="347" spans="1:9" ht="15.75" customHeight="1" x14ac:dyDescent="0.2">
      <c r="A347" s="90" t="s">
        <v>1097</v>
      </c>
      <c r="B347" s="97" t="s">
        <v>1226</v>
      </c>
      <c r="C347" s="98" t="s">
        <v>1227</v>
      </c>
      <c r="D347" s="11" t="s">
        <v>13</v>
      </c>
      <c r="E347" s="99" t="s">
        <v>1228</v>
      </c>
      <c r="F347" s="100" t="s">
        <v>108</v>
      </c>
      <c r="G347" s="101" t="s">
        <v>1097</v>
      </c>
      <c r="H347" s="102" t="s">
        <v>16</v>
      </c>
      <c r="I347" s="7" t="s">
        <v>1226</v>
      </c>
    </row>
    <row r="348" spans="1:9" ht="15.75" customHeight="1" x14ac:dyDescent="0.2">
      <c r="A348" s="90" t="s">
        <v>1097</v>
      </c>
      <c r="B348" s="91" t="s">
        <v>1229</v>
      </c>
      <c r="C348" s="92" t="s">
        <v>1230</v>
      </c>
      <c r="D348" s="11" t="s">
        <v>13</v>
      </c>
      <c r="E348" s="93" t="s">
        <v>1231</v>
      </c>
      <c r="F348" s="94" t="s">
        <v>1232</v>
      </c>
      <c r="G348" s="95" t="s">
        <v>1097</v>
      </c>
      <c r="H348" s="96" t="s">
        <v>16</v>
      </c>
      <c r="I348" s="7" t="s">
        <v>1229</v>
      </c>
    </row>
    <row r="349" spans="1:9" ht="15.75" customHeight="1" x14ac:dyDescent="0.2">
      <c r="A349" s="90" t="s">
        <v>1097</v>
      </c>
      <c r="B349" s="97" t="s">
        <v>1233</v>
      </c>
      <c r="C349" s="98" t="s">
        <v>1234</v>
      </c>
      <c r="D349" s="11" t="s">
        <v>13</v>
      </c>
      <c r="E349" s="99" t="s">
        <v>1235</v>
      </c>
      <c r="F349" s="100" t="s">
        <v>1236</v>
      </c>
      <c r="G349" s="101" t="s">
        <v>1097</v>
      </c>
      <c r="H349" s="102" t="s">
        <v>16</v>
      </c>
      <c r="I349" s="7" t="s">
        <v>1233</v>
      </c>
    </row>
    <row r="350" spans="1:9" ht="21.75" customHeight="1" x14ac:dyDescent="0.2">
      <c r="A350" s="175" t="s">
        <v>1237</v>
      </c>
      <c r="B350" s="175"/>
      <c r="C350" s="175"/>
      <c r="D350" s="175"/>
      <c r="E350" s="175"/>
      <c r="F350" s="175"/>
      <c r="G350" s="175"/>
      <c r="H350" s="175"/>
      <c r="I350" s="7"/>
    </row>
    <row r="351" spans="1:9" ht="15.75" customHeight="1" x14ac:dyDescent="0.2">
      <c r="A351" s="103" t="s">
        <v>1238</v>
      </c>
      <c r="B351" s="104" t="s">
        <v>1239</v>
      </c>
      <c r="C351" s="105" t="s">
        <v>1240</v>
      </c>
      <c r="D351" s="106" t="s">
        <v>1241</v>
      </c>
      <c r="E351" s="107" t="s">
        <v>407</v>
      </c>
      <c r="F351" s="108" t="s">
        <v>1242</v>
      </c>
      <c r="G351" s="109" t="s">
        <v>407</v>
      </c>
      <c r="H351" s="24" t="s">
        <v>1243</v>
      </c>
      <c r="I351" s="7" t="s">
        <v>1244</v>
      </c>
    </row>
    <row r="352" spans="1:9" ht="15.75" customHeight="1" x14ac:dyDescent="0.2">
      <c r="A352" s="103" t="s">
        <v>1238</v>
      </c>
      <c r="B352" s="110" t="s">
        <v>1245</v>
      </c>
      <c r="C352" s="111" t="s">
        <v>1246</v>
      </c>
      <c r="D352" s="106" t="s">
        <v>1241</v>
      </c>
      <c r="E352" s="112" t="s">
        <v>407</v>
      </c>
      <c r="F352" s="113" t="s">
        <v>1247</v>
      </c>
      <c r="G352" s="114" t="s">
        <v>407</v>
      </c>
      <c r="H352" s="115" t="s">
        <v>1248</v>
      </c>
      <c r="I352" s="7" t="s">
        <v>1245</v>
      </c>
    </row>
    <row r="353" spans="1:9" ht="15.75" customHeight="1" x14ac:dyDescent="0.2">
      <c r="A353" s="103" t="s">
        <v>1238</v>
      </c>
      <c r="B353" s="104" t="s">
        <v>1249</v>
      </c>
      <c r="C353" s="105" t="s">
        <v>1250</v>
      </c>
      <c r="D353" s="106" t="s">
        <v>1241</v>
      </c>
      <c r="E353" s="107" t="s">
        <v>407</v>
      </c>
      <c r="F353" s="108" t="s">
        <v>1247</v>
      </c>
      <c r="G353" s="109" t="s">
        <v>407</v>
      </c>
      <c r="H353" s="116" t="s">
        <v>1251</v>
      </c>
      <c r="I353" s="7" t="s">
        <v>1249</v>
      </c>
    </row>
    <row r="354" spans="1:9" ht="15.75" customHeight="1" x14ac:dyDescent="0.2">
      <c r="A354" s="103" t="s">
        <v>1238</v>
      </c>
      <c r="B354" s="110" t="s">
        <v>1252</v>
      </c>
      <c r="C354" s="111" t="s">
        <v>1253</v>
      </c>
      <c r="D354" s="106" t="s">
        <v>1241</v>
      </c>
      <c r="E354" s="112" t="s">
        <v>407</v>
      </c>
      <c r="F354" s="113" t="s">
        <v>1247</v>
      </c>
      <c r="G354" s="114" t="s">
        <v>407</v>
      </c>
      <c r="H354" s="115" t="s">
        <v>1254</v>
      </c>
      <c r="I354" s="7" t="s">
        <v>1252</v>
      </c>
    </row>
    <row r="355" spans="1:9" ht="15.75" customHeight="1" x14ac:dyDescent="0.2">
      <c r="A355" s="103" t="s">
        <v>1238</v>
      </c>
      <c r="B355" s="104" t="s">
        <v>1255</v>
      </c>
      <c r="C355" s="105" t="s">
        <v>1256</v>
      </c>
      <c r="D355" s="106" t="s">
        <v>1241</v>
      </c>
      <c r="E355" s="107" t="s">
        <v>407</v>
      </c>
      <c r="F355" s="108" t="s">
        <v>1247</v>
      </c>
      <c r="G355" s="109" t="s">
        <v>407</v>
      </c>
      <c r="H355" s="116" t="s">
        <v>1257</v>
      </c>
      <c r="I355" s="7" t="s">
        <v>1258</v>
      </c>
    </row>
    <row r="356" spans="1:9" ht="15.75" customHeight="1" x14ac:dyDescent="0.2">
      <c r="A356" s="103" t="s">
        <v>1238</v>
      </c>
      <c r="B356" s="110" t="s">
        <v>1259</v>
      </c>
      <c r="C356" s="111" t="s">
        <v>1260</v>
      </c>
      <c r="D356" s="106" t="s">
        <v>1241</v>
      </c>
      <c r="E356" s="112" t="s">
        <v>407</v>
      </c>
      <c r="F356" s="113" t="s">
        <v>1247</v>
      </c>
      <c r="G356" s="114" t="s">
        <v>407</v>
      </c>
      <c r="H356" s="115" t="s">
        <v>1261</v>
      </c>
      <c r="I356" s="7" t="s">
        <v>1262</v>
      </c>
    </row>
    <row r="357" spans="1:9" ht="15.75" customHeight="1" x14ac:dyDescent="0.2">
      <c r="A357" s="103" t="s">
        <v>1238</v>
      </c>
      <c r="B357" s="104" t="s">
        <v>1263</v>
      </c>
      <c r="C357" s="105" t="s">
        <v>1264</v>
      </c>
      <c r="D357" s="106" t="s">
        <v>1241</v>
      </c>
      <c r="E357" s="107" t="s">
        <v>407</v>
      </c>
      <c r="F357" s="108" t="s">
        <v>1247</v>
      </c>
      <c r="G357" s="109" t="s">
        <v>407</v>
      </c>
      <c r="H357" s="116" t="s">
        <v>1265</v>
      </c>
      <c r="I357" s="7" t="s">
        <v>1266</v>
      </c>
    </row>
    <row r="358" spans="1:9" ht="15.75" customHeight="1" x14ac:dyDescent="0.2">
      <c r="A358" s="103" t="s">
        <v>1238</v>
      </c>
      <c r="B358" s="110" t="s">
        <v>1267</v>
      </c>
      <c r="C358" s="111" t="s">
        <v>1268</v>
      </c>
      <c r="D358" s="106" t="s">
        <v>1241</v>
      </c>
      <c r="E358" s="112" t="s">
        <v>407</v>
      </c>
      <c r="F358" s="113" t="s">
        <v>1247</v>
      </c>
      <c r="G358" s="114" t="s">
        <v>407</v>
      </c>
      <c r="H358" s="115" t="s">
        <v>1269</v>
      </c>
      <c r="I358" s="7" t="s">
        <v>1270</v>
      </c>
    </row>
    <row r="359" spans="1:9" ht="15.75" customHeight="1" x14ac:dyDescent="0.2">
      <c r="A359" s="103" t="s">
        <v>1238</v>
      </c>
      <c r="B359" s="104" t="s">
        <v>1271</v>
      </c>
      <c r="C359" s="105" t="s">
        <v>1272</v>
      </c>
      <c r="D359" s="106" t="s">
        <v>1241</v>
      </c>
      <c r="E359" s="107" t="s">
        <v>407</v>
      </c>
      <c r="F359" s="108" t="s">
        <v>1247</v>
      </c>
      <c r="G359" s="109" t="s">
        <v>407</v>
      </c>
      <c r="H359" s="116" t="s">
        <v>1273</v>
      </c>
      <c r="I359" s="7" t="s">
        <v>1274</v>
      </c>
    </row>
    <row r="360" spans="1:9" ht="21.75" customHeight="1" x14ac:dyDescent="0.2">
      <c r="A360" s="169" t="s">
        <v>1275</v>
      </c>
      <c r="B360" s="169"/>
      <c r="C360" s="169"/>
      <c r="D360" s="169"/>
      <c r="E360" s="169"/>
      <c r="F360" s="169"/>
      <c r="G360" s="169"/>
      <c r="H360" s="169"/>
      <c r="I360" s="7"/>
    </row>
    <row r="361" spans="1:9" ht="15.75" customHeight="1" x14ac:dyDescent="0.2">
      <c r="A361" s="117" t="s">
        <v>1276</v>
      </c>
      <c r="B361" s="118" t="s">
        <v>1277</v>
      </c>
      <c r="C361" s="119" t="s">
        <v>1278</v>
      </c>
      <c r="D361" s="23" t="s">
        <v>120</v>
      </c>
      <c r="E361" s="120" t="s">
        <v>407</v>
      </c>
      <c r="F361" s="121" t="s">
        <v>1279</v>
      </c>
      <c r="G361" s="122" t="s">
        <v>407</v>
      </c>
      <c r="H361" s="24" t="s">
        <v>1280</v>
      </c>
      <c r="I361" s="7" t="s">
        <v>1276</v>
      </c>
    </row>
    <row r="362" spans="1:9" ht="15.75" customHeight="1" x14ac:dyDescent="0.2">
      <c r="A362" s="117" t="s">
        <v>1276</v>
      </c>
      <c r="B362" s="123" t="s">
        <v>1281</v>
      </c>
      <c r="C362" s="124" t="s">
        <v>1282</v>
      </c>
      <c r="D362" s="23" t="s">
        <v>120</v>
      </c>
      <c r="E362" s="125" t="s">
        <v>407</v>
      </c>
      <c r="F362" s="126" t="s">
        <v>1283</v>
      </c>
      <c r="G362" s="127" t="s">
        <v>407</v>
      </c>
      <c r="H362" s="128" t="s">
        <v>1284</v>
      </c>
      <c r="I362" s="7" t="s">
        <v>1281</v>
      </c>
    </row>
    <row r="363" spans="1:9" ht="15.75" customHeight="1" x14ac:dyDescent="0.2">
      <c r="A363" s="117" t="s">
        <v>1276</v>
      </c>
      <c r="B363" s="118" t="s">
        <v>1285</v>
      </c>
      <c r="C363" s="119" t="s">
        <v>1286</v>
      </c>
      <c r="D363" s="23" t="s">
        <v>120</v>
      </c>
      <c r="E363" s="120" t="s">
        <v>407</v>
      </c>
      <c r="F363" s="121" t="s">
        <v>1283</v>
      </c>
      <c r="G363" s="122" t="s">
        <v>407</v>
      </c>
      <c r="H363" s="129" t="s">
        <v>1287</v>
      </c>
      <c r="I363" s="7" t="s">
        <v>1285</v>
      </c>
    </row>
    <row r="364" spans="1:9" ht="15.75" customHeight="1" x14ac:dyDescent="0.2">
      <c r="A364" s="117" t="s">
        <v>1276</v>
      </c>
      <c r="B364" s="123" t="s">
        <v>1288</v>
      </c>
      <c r="C364" s="124" t="s">
        <v>1289</v>
      </c>
      <c r="D364" s="23" t="s">
        <v>120</v>
      </c>
      <c r="E364" s="125" t="s">
        <v>407</v>
      </c>
      <c r="F364" s="126" t="s">
        <v>1283</v>
      </c>
      <c r="G364" s="127" t="s">
        <v>407</v>
      </c>
      <c r="H364" s="128" t="s">
        <v>1290</v>
      </c>
      <c r="I364" s="7" t="s">
        <v>1288</v>
      </c>
    </row>
    <row r="365" spans="1:9" ht="15.75" customHeight="1" x14ac:dyDescent="0.2">
      <c r="A365" s="117" t="s">
        <v>1276</v>
      </c>
      <c r="B365" s="118" t="s">
        <v>1291</v>
      </c>
      <c r="C365" s="119" t="s">
        <v>1292</v>
      </c>
      <c r="D365" s="23" t="s">
        <v>120</v>
      </c>
      <c r="E365" s="120" t="s">
        <v>407</v>
      </c>
      <c r="F365" s="121" t="s">
        <v>1283</v>
      </c>
      <c r="G365" s="122" t="s">
        <v>407</v>
      </c>
      <c r="H365" s="129" t="s">
        <v>1293</v>
      </c>
      <c r="I365" s="7" t="s">
        <v>1291</v>
      </c>
    </row>
    <row r="366" spans="1:9" ht="15.75" customHeight="1" x14ac:dyDescent="0.2">
      <c r="A366" s="117" t="s">
        <v>1276</v>
      </c>
      <c r="B366" s="123" t="s">
        <v>1294</v>
      </c>
      <c r="C366" s="124" t="s">
        <v>1295</v>
      </c>
      <c r="D366" s="23" t="s">
        <v>120</v>
      </c>
      <c r="E366" s="125" t="s">
        <v>407</v>
      </c>
      <c r="F366" s="126" t="s">
        <v>1283</v>
      </c>
      <c r="G366" s="127" t="s">
        <v>407</v>
      </c>
      <c r="H366" s="128" t="s">
        <v>1296</v>
      </c>
      <c r="I366" s="7" t="s">
        <v>1294</v>
      </c>
    </row>
    <row r="367" spans="1:9" ht="15.75" customHeight="1" x14ac:dyDescent="0.2">
      <c r="A367" s="117" t="s">
        <v>1276</v>
      </c>
      <c r="B367" s="118" t="s">
        <v>1297</v>
      </c>
      <c r="C367" s="119" t="s">
        <v>1298</v>
      </c>
      <c r="D367" s="23" t="s">
        <v>120</v>
      </c>
      <c r="E367" s="120" t="s">
        <v>407</v>
      </c>
      <c r="F367" s="121" t="s">
        <v>1283</v>
      </c>
      <c r="G367" s="122" t="s">
        <v>407</v>
      </c>
      <c r="H367" s="129" t="s">
        <v>1299</v>
      </c>
      <c r="I367" s="7" t="s">
        <v>1297</v>
      </c>
    </row>
    <row r="368" spans="1:9" ht="15.75" customHeight="1" x14ac:dyDescent="0.2">
      <c r="A368" s="117" t="s">
        <v>1276</v>
      </c>
      <c r="B368" s="123" t="s">
        <v>1300</v>
      </c>
      <c r="C368" s="124" t="s">
        <v>1301</v>
      </c>
      <c r="D368" s="23" t="s">
        <v>120</v>
      </c>
      <c r="E368" s="125" t="s">
        <v>407</v>
      </c>
      <c r="F368" s="126" t="s">
        <v>1283</v>
      </c>
      <c r="G368" s="127" t="s">
        <v>407</v>
      </c>
      <c r="H368" s="128" t="s">
        <v>1302</v>
      </c>
      <c r="I368" s="7" t="s">
        <v>1300</v>
      </c>
    </row>
    <row r="369" spans="1:9" ht="15.75" customHeight="1" x14ac:dyDescent="0.2">
      <c r="A369" s="117" t="s">
        <v>1276</v>
      </c>
      <c r="B369" s="118" t="s">
        <v>1303</v>
      </c>
      <c r="C369" s="119" t="s">
        <v>1304</v>
      </c>
      <c r="D369" s="23" t="s">
        <v>120</v>
      </c>
      <c r="E369" s="120" t="s">
        <v>407</v>
      </c>
      <c r="F369" s="121" t="s">
        <v>1283</v>
      </c>
      <c r="G369" s="122" t="s">
        <v>407</v>
      </c>
      <c r="H369" s="129" t="s">
        <v>1305</v>
      </c>
      <c r="I369" s="7" t="s">
        <v>1303</v>
      </c>
    </row>
    <row r="370" spans="1:9" ht="15" customHeight="1" x14ac:dyDescent="0.2">
      <c r="I370" s="7"/>
    </row>
    <row r="371" spans="1:9" ht="18" customHeight="1" x14ac:dyDescent="0.2">
      <c r="A371" s="170" t="s">
        <v>1306</v>
      </c>
      <c r="B371" s="170"/>
      <c r="C371" s="170"/>
      <c r="D371" s="170"/>
      <c r="E371" s="170"/>
      <c r="F371" s="170"/>
      <c r="G371" s="170"/>
      <c r="H371" s="170"/>
      <c r="I371" s="7"/>
    </row>
  </sheetData>
  <autoFilter ref="A3:H369" xr:uid="{00000000-0009-0000-0000-000000000000}"/>
  <mergeCells count="12">
    <mergeCell ref="A1:H1"/>
    <mergeCell ref="A2:H2"/>
    <mergeCell ref="A4:H4"/>
    <mergeCell ref="A59:H59"/>
    <mergeCell ref="A125:H125"/>
    <mergeCell ref="A360:H360"/>
    <mergeCell ref="A371:H371"/>
    <mergeCell ref="A165:H165"/>
    <mergeCell ref="A206:H206"/>
    <mergeCell ref="A219:H219"/>
    <mergeCell ref="A309:H309"/>
    <mergeCell ref="A350:H35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55911-9A6C-F54A-AD21-96F931696F23}">
  <sheetPr codeName="Feuil2"/>
  <dimension ref="A1:U215"/>
  <sheetViews>
    <sheetView tabSelected="1" zoomScale="125" zoomScaleNormal="100" workbookViewId="0">
      <pane ySplit="4" topLeftCell="A47" activePane="bottomLeft" state="frozen"/>
      <selection pane="bottomLeft" activeCell="G10" sqref="G10"/>
    </sheetView>
  </sheetViews>
  <sheetFormatPr baseColWidth="10" defaultColWidth="8.6640625" defaultRowHeight="15" x14ac:dyDescent="0.2"/>
  <cols>
    <col min="1" max="1" width="18" style="1" customWidth="1"/>
    <col min="2" max="2" width="48" style="1" customWidth="1"/>
    <col min="3" max="4" width="16" style="1" customWidth="1"/>
    <col min="5" max="5" width="2" style="1" customWidth="1"/>
    <col min="6" max="6" width="24.1640625" style="1" customWidth="1"/>
    <col min="7" max="7" width="46" style="1" customWidth="1"/>
    <col min="8" max="9" width="16" style="1" customWidth="1"/>
    <col min="10" max="10" width="4" style="1" customWidth="1"/>
    <col min="11" max="11" width="23.6640625" style="1" customWidth="1"/>
    <col min="12" max="12" width="11.5" style="140" customWidth="1"/>
    <col min="13" max="21" width="11.5" customWidth="1"/>
  </cols>
  <sheetData>
    <row r="1" spans="1:13" ht="28" customHeight="1" thickBot="1" x14ac:dyDescent="0.25">
      <c r="A1" s="183" t="s">
        <v>1357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</row>
    <row r="2" spans="1:13" ht="26" customHeight="1" thickBot="1" x14ac:dyDescent="0.25">
      <c r="A2" s="181" t="s">
        <v>1307</v>
      </c>
      <c r="B2" s="181"/>
      <c r="C2" s="130">
        <v>10.8</v>
      </c>
      <c r="D2" s="184" t="s">
        <v>1356</v>
      </c>
      <c r="E2" s="184"/>
      <c r="F2" s="184"/>
      <c r="G2" s="185" t="s">
        <v>1308</v>
      </c>
      <c r="H2" s="185"/>
      <c r="I2" s="185"/>
      <c r="J2" s="185"/>
      <c r="K2" s="185"/>
    </row>
    <row r="3" spans="1:13" ht="18" customHeight="1" x14ac:dyDescent="0.2">
      <c r="A3" s="181" t="s">
        <v>1309</v>
      </c>
      <c r="B3" s="181"/>
      <c r="C3" s="181"/>
      <c r="D3" s="181"/>
      <c r="F3" s="182" t="s">
        <v>1355</v>
      </c>
      <c r="G3" s="182"/>
      <c r="H3" s="182"/>
      <c r="I3" s="182"/>
      <c r="J3" s="182"/>
      <c r="K3" s="182"/>
    </row>
    <row r="4" spans="1:13" ht="30" customHeight="1" x14ac:dyDescent="0.2">
      <c r="A4" s="3" t="s">
        <v>1310</v>
      </c>
      <c r="B4" s="3" t="s">
        <v>1311</v>
      </c>
      <c r="C4" s="3" t="s">
        <v>1312</v>
      </c>
      <c r="D4" s="3" t="s">
        <v>1313</v>
      </c>
      <c r="E4" s="131"/>
      <c r="F4" s="4" t="s">
        <v>1314</v>
      </c>
      <c r="G4" s="4" t="s">
        <v>5</v>
      </c>
      <c r="H4" s="4" t="s">
        <v>1315</v>
      </c>
      <c r="I4" s="4" t="s">
        <v>1316</v>
      </c>
      <c r="J4" s="132"/>
      <c r="K4" s="3" t="s">
        <v>1317</v>
      </c>
      <c r="L4" s="140" t="s">
        <v>1318</v>
      </c>
    </row>
    <row r="5" spans="1:13" ht="15" customHeight="1" x14ac:dyDescent="0.2">
      <c r="A5" s="163">
        <v>111100</v>
      </c>
      <c r="B5" s="154" t="s">
        <v>18</v>
      </c>
      <c r="C5" s="155"/>
      <c r="D5" s="155">
        <v>100000</v>
      </c>
      <c r="E5" s="131"/>
      <c r="F5" s="146" t="str">
        <f>IF(A5="","",IFERROR(INDEX(Table_Complete_CGNC_PCG!$E:$E,MATCH(L5,Table_Complete_CGNC_PCG!$I:$I,0)),"? Non trouvé"))</f>
        <v>1013</v>
      </c>
      <c r="G5" s="147" t="str">
        <f>IF(A5="","",IFERROR(INDEX(Table_Complete_CGNC_PCG!$F:$F,MATCH(L5,Table_Complete_CGNC_PCG!$I:$I,0)),"Non trouve — ajouter dans la table"))</f>
        <v>Capital souscrit - appelé, versé</v>
      </c>
      <c r="H5" s="148" t="str">
        <f>IF(OR(A5="",C5="",C5=0),"",ROUND(C5/$C$2,2))</f>
        <v/>
      </c>
      <c r="I5" s="148">
        <f>IF(OR(A5="",D5="",D5=0),"",ROUND(D5/$C$2,2))</f>
        <v>9259.26</v>
      </c>
      <c r="J5" s="131"/>
      <c r="K5" s="143" t="str">
        <f>IF(A5="","",IFERROR(IF(F5="? Non mappe","Compte non trouve - mapper manuellement",IF(AND(ISNUMBER(SEARCH("516",L5)),D5&gt;0),"CAISSE CREDITRICE - anomalie a corriger",IF(IFERROR(INDEX(Table_Complete_CGNC_PCG!$D:$D,MATCH(L5,Table_Complete_CGNC_PCG!$I:$I,0)),"")="?","Retraitement requis - voir table","OK"))),"Erreur"))</f>
        <v>OK</v>
      </c>
      <c r="L5" s="141" t="str">
        <f>LEFT(TEXT(A5,"0"),4)</f>
        <v>1111</v>
      </c>
    </row>
    <row r="6" spans="1:13" ht="15" customHeight="1" x14ac:dyDescent="0.2">
      <c r="A6" s="164">
        <v>116100</v>
      </c>
      <c r="B6" s="156" t="s">
        <v>1354</v>
      </c>
      <c r="C6" s="157"/>
      <c r="D6" s="157">
        <v>861409.18</v>
      </c>
      <c r="E6" s="131"/>
      <c r="F6" s="146" t="str">
        <f>IF(A6="","",IFERROR(INDEX(Table_Complete_CGNC_PCG!$E:$E,MATCH(L6,Table_Complete_CGNC_PCG!$I:$I,0)),"? Non trouvé"))</f>
        <v>110</v>
      </c>
      <c r="G6" s="149" t="str">
        <f>IF(A6="","",IFERROR(INDEX(Table_Complete_CGNC_PCG!$F:$F,MATCH(L6,Table_Complete_CGNC_PCG!$I:$I,0)),"Non trouve — ajouter dans la table"))</f>
        <v>Report à nouveau - solde créditeur</v>
      </c>
      <c r="H6" s="148" t="str">
        <f t="shared" ref="H6:H69" si="0">IF(OR(A6="",C6="",C6=0),"",ROUND(C6/$C$2,2))</f>
        <v/>
      </c>
      <c r="I6" s="148">
        <f t="shared" ref="I6:I69" si="1">IF(OR(A6="",D6="",D6=0),"",ROUND(D6/$C$2,2))</f>
        <v>79760.11</v>
      </c>
      <c r="J6" s="131"/>
      <c r="K6" s="143" t="str">
        <f>IF(A6="","",IFERROR(IF(F6="? Non mappe","Compte non trouve - mapper manuellement",IF(AND(ISNUMBER(SEARCH("516",L6)),D6&gt;0),"CAISSE CREDITRICE - anomalie a corriger",IF(IFERROR(INDEX(Table_Complete_CGNC_PCG!$D:$D,MATCH(L6,Table_Complete_CGNC_PCG!$I:$I,0)),"")="?","Retraitement requis - voir table","OK"))),"Erreur"))</f>
        <v>OK</v>
      </c>
      <c r="L6" s="141" t="str">
        <f>LEFT(TEXT(A6,"0"),4)</f>
        <v>1161</v>
      </c>
    </row>
    <row r="7" spans="1:13" ht="15" customHeight="1" x14ac:dyDescent="0.2">
      <c r="A7" s="164">
        <v>114100</v>
      </c>
      <c r="B7" s="156" t="s">
        <v>1336</v>
      </c>
      <c r="C7" s="157"/>
      <c r="D7" s="157">
        <v>20000</v>
      </c>
      <c r="E7" s="131"/>
      <c r="F7" s="146" t="str">
        <f>IF(A7="","",IFERROR(INDEX(Table_Complete_CGNC_PCG!$E:$E,MATCH(L7,Table_Complete_CGNC_PCG!$I:$I,0)),"? Non trouvé"))</f>
        <v>1061</v>
      </c>
      <c r="G7" s="149" t="str">
        <f>IF(A7="","",IFERROR(INDEX(Table_Complete_CGNC_PCG!$F:$F,MATCH(L7,Table_Complete_CGNC_PCG!$I:$I,0)),"Non trouve — ajouter dans la table"))</f>
        <v>Réserve légale</v>
      </c>
      <c r="H7" s="148" t="str">
        <f t="shared" si="0"/>
        <v/>
      </c>
      <c r="I7" s="148">
        <f t="shared" si="1"/>
        <v>1851.85</v>
      </c>
      <c r="J7" s="131"/>
      <c r="K7" s="143" t="str">
        <f>IF(A7="","",IFERROR(IF(F7="? Non mappe","Compte non trouve - mapper manuellement",IF(AND(ISNUMBER(SEARCH("516",L7)),D7&gt;0),"CAISSE CREDITRICE - anomalie a corriger",IF(IFERROR(INDEX(Table_Complete_CGNC_PCG!$D:$D,MATCH(L7,Table_Complete_CGNC_PCG!$I:$I,0)),"")="?","Retraitement requis - voir table","OK"))),"Erreur"))</f>
        <v>OK</v>
      </c>
      <c r="L7" s="141" t="str">
        <f>LEFT(TEXT(A7,"0"),3)</f>
        <v>114</v>
      </c>
    </row>
    <row r="8" spans="1:13" ht="15" customHeight="1" x14ac:dyDescent="0.2">
      <c r="A8" s="163">
        <v>211100</v>
      </c>
      <c r="B8" s="154" t="s">
        <v>215</v>
      </c>
      <c r="C8" s="155">
        <v>8200</v>
      </c>
      <c r="D8" s="155"/>
      <c r="E8" s="131"/>
      <c r="F8" s="146" t="str">
        <f>IF(A8="","",IFERROR(INDEX(Table_Complete_CGNC_PCG!$E:$E,MATCH(L8,Table_Complete_CGNC_PCG!$I:$I,0)),"? Non trouvé"))</f>
        <v>2011</v>
      </c>
      <c r="G8" s="147" t="str">
        <f>IF(A8="","",IFERROR(INDEX(Table_Complete_CGNC_PCG!$F:$F,MATCH(L8,Table_Complete_CGNC_PCG!$I:$I,0)),"Non trouve — ajouter dans la table"))</f>
        <v>Frais de constitution</v>
      </c>
      <c r="H8" s="148">
        <f t="shared" si="0"/>
        <v>759.26</v>
      </c>
      <c r="I8" s="148" t="str">
        <f t="shared" si="1"/>
        <v/>
      </c>
      <c r="J8" s="131"/>
      <c r="K8" s="143" t="str">
        <f>IF(A8="","",IFERROR(IF(F8="? Non mappe","Compte non trouve - mapper manuellement",IF(AND(ISNUMBER(SEARCH("516",L8)),D8&gt;0),"CAISSE CREDITRICE - anomalie a corriger",IF(IFERROR(INDEX(Table_Complete_CGNC_PCG!$D:$D,MATCH(L8,Table_Complete_CGNC_PCG!$I:$I,0)),"")="?","Retraitement requis - voir table","OK"))),"Erreur"))</f>
        <v>OK</v>
      </c>
      <c r="L8" s="141" t="str">
        <f t="shared" ref="L8:L9" si="2">LEFT(TEXT(A8,"0"),4)</f>
        <v>2111</v>
      </c>
    </row>
    <row r="9" spans="1:13" ht="15" customHeight="1" x14ac:dyDescent="0.2">
      <c r="A9" s="165">
        <v>235600</v>
      </c>
      <c r="B9" s="156" t="s">
        <v>1319</v>
      </c>
      <c r="C9" s="157">
        <v>89830.33</v>
      </c>
      <c r="D9" s="157"/>
      <c r="E9" s="131"/>
      <c r="F9" s="146" t="str">
        <f>IF(A9="","",IFERROR(INDEX(Table_Complete_CGNC_PCG!$E:$E,MATCH(L9,Table_Complete_CGNC_PCG!$I:$I,0)),"? Non trouvé"))</f>
        <v>2181</v>
      </c>
      <c r="G9" s="149" t="str">
        <f>IF(A9="","",IFERROR(INDEX(Table_Complete_CGNC_PCG!$F:$F,MATCH(L9,Table_Complete_CGNC_PCG!$I:$I,0)),"Non trouve — ajouter dans la table"))</f>
        <v>Installations générales, agencements, aménagements divers</v>
      </c>
      <c r="H9" s="148">
        <f t="shared" si="0"/>
        <v>8317.6200000000008</v>
      </c>
      <c r="I9" s="148" t="str">
        <f t="shared" si="1"/>
        <v/>
      </c>
      <c r="J9" s="131"/>
      <c r="K9" s="143" t="str">
        <f>IF(A9="","",IFERROR(IF(F9="? Non mappe","Compte non trouve - mapper manuellement",IF(AND(ISNUMBER(SEARCH("516",L9)),D9&gt;0),"CAISSE CREDITRICE - anomalie a corriger",IF(IFERROR(INDEX(Table_Complete_CGNC_PCG!$D:$D,MATCH(L9,Table_Complete_CGNC_PCG!$I:$I,0)),"")="?","Retraitement requis - voir table","OK"))),"Erreur"))</f>
        <v>OK</v>
      </c>
      <c r="L9" s="141" t="str">
        <f t="shared" si="2"/>
        <v>2356</v>
      </c>
    </row>
    <row r="10" spans="1:13" ht="15" customHeight="1" x14ac:dyDescent="0.2">
      <c r="A10" s="164">
        <v>283500</v>
      </c>
      <c r="B10" s="156" t="s">
        <v>1337</v>
      </c>
      <c r="C10" s="157"/>
      <c r="D10" s="157">
        <v>4045.36</v>
      </c>
      <c r="E10" s="131"/>
      <c r="F10" s="146" t="str">
        <f>IF(A10="","",IFERROR(INDEX(Table_Complete_CGNC_PCG!$E:$E,MATCH(L10,Table_Complete_CGNC_PCG!$I:$I,0)),"? Non trouvé"))</f>
        <v>2818</v>
      </c>
      <c r="G10" s="149" t="str">
        <f>IF(A10="","",IFERROR(INDEX(Table_Complete_CGNC_PCG!$F:$F,MATCH(L10,Table_Complete_CGNC_PCG!$I:$I,0)),"Non trouve — ajouter dans la table"))</f>
        <v>Autres immobilisations corporelles</v>
      </c>
      <c r="H10" s="148" t="str">
        <f t="shared" si="0"/>
        <v/>
      </c>
      <c r="I10" s="148">
        <f t="shared" si="1"/>
        <v>374.57</v>
      </c>
      <c r="J10" s="131"/>
      <c r="K10" s="143" t="str">
        <f>IF(A10="","",IFERROR(IF(F10="? Non mappe","Compte non trouve - mapper manuellement",IF(AND(ISNUMBER(SEARCH("516",L10)),D10&gt;0),"CAISSE CREDITRICE - anomalie a corriger",IF(IFERROR(INDEX(Table_Complete_CGNC_PCG!$D:$D,MATCH(L10,Table_Complete_CGNC_PCG!$I:$I,0)),"")="?","Retraitement requis - voir table","OK"))),"Erreur"))</f>
        <v>OK</v>
      </c>
      <c r="L10" s="141" t="str">
        <f>LEFT(TEXT(A10,"0"),4)</f>
        <v>2835</v>
      </c>
      <c r="M10" s="142"/>
    </row>
    <row r="11" spans="1:13" ht="15" customHeight="1" x14ac:dyDescent="0.2">
      <c r="A11" s="163">
        <v>281110</v>
      </c>
      <c r="B11" s="154" t="s">
        <v>385</v>
      </c>
      <c r="C11" s="155"/>
      <c r="D11" s="155">
        <v>3462.22</v>
      </c>
      <c r="E11" s="131"/>
      <c r="F11" s="146" t="str">
        <f>IF(A11="","",IFERROR(INDEX(Table_Complete_CGNC_PCG!$E:$E,MATCH(L11,Table_Complete_CGNC_PCG!$I:$I,0)),"? Non trouvé"))</f>
        <v>2801</v>
      </c>
      <c r="G11" s="147" t="str">
        <f>IF(A11="","",IFERROR(INDEX(Table_Complete_CGNC_PCG!$F:$F,MATCH(L11,Table_Complete_CGNC_PCG!$I:$I,0)),"Non trouve — ajouter dans la table"))</f>
        <v>Frais d'établissement (amortissements)</v>
      </c>
      <c r="H11" s="148" t="str">
        <f t="shared" si="0"/>
        <v/>
      </c>
      <c r="I11" s="148">
        <f t="shared" si="1"/>
        <v>320.58</v>
      </c>
      <c r="J11" s="131"/>
      <c r="K11" s="143" t="str">
        <f>IF(A11="","",IFERROR(IF(F11="? Non mappe","Compte non trouve - mapper manuellement",IF(AND(ISNUMBER(SEARCH("516",L11)),D11&gt;0),"CAISSE CREDITRICE - anomalie a corriger",IF(IFERROR(INDEX(Table_Complete_CGNC_PCG!$D:$D,MATCH(L11,Table_Complete_CGNC_PCG!$I:$I,0)),"")="?","Retraitement requis - voir table","OK"))),"Erreur"))</f>
        <v>OK</v>
      </c>
      <c r="L11" s="141" t="str">
        <f>LEFT(TEXT(A11,"0"),5)</f>
        <v>28111</v>
      </c>
    </row>
    <row r="12" spans="1:13" ht="15" customHeight="1" x14ac:dyDescent="0.2">
      <c r="A12" s="165">
        <v>342100</v>
      </c>
      <c r="B12" s="156" t="s">
        <v>497</v>
      </c>
      <c r="C12" s="158">
        <v>202876.35</v>
      </c>
      <c r="D12" s="159"/>
      <c r="E12" s="131"/>
      <c r="F12" s="146" t="str">
        <f>IF(A12="","",IFERROR(INDEX(Table_Complete_CGNC_PCG!$E:$E,MATCH(L12,Table_Complete_CGNC_PCG!$I:$I,0)),"? Non trouvé"))</f>
        <v>411</v>
      </c>
      <c r="G12" s="149" t="str">
        <f>IF(A12="","",IFERROR(INDEX(Table_Complete_CGNC_PCG!$F:$F,MATCH(L12,Table_Complete_CGNC_PCG!$I:$I,0)),"Non trouve — ajouter dans la table"))</f>
        <v>Clients</v>
      </c>
      <c r="H12" s="148">
        <f t="shared" si="0"/>
        <v>18784.849999999999</v>
      </c>
      <c r="I12" s="148" t="str">
        <f t="shared" si="1"/>
        <v/>
      </c>
      <c r="J12" s="131"/>
      <c r="K12" s="143" t="str">
        <f>IF(A12="","",IFERROR(IF(F12="? Non mappe","Compte non trouve - mapper manuellement",IF(AND(ISNUMBER(SEARCH("516",L12)),D12&gt;0),"CAISSE CREDITRICE - anomalie a corriger",IF(IFERROR(INDEX(Table_Complete_CGNC_PCG!$D:$D,MATCH(L12,Table_Complete_CGNC_PCG!$I:$I,0)),"")="?","Retraitement requis - voir table","OK"))),"Erreur"))</f>
        <v>OK</v>
      </c>
      <c r="L12" s="141" t="str">
        <f>LEFT(TEXT(A12,"0"),4)</f>
        <v>3421</v>
      </c>
    </row>
    <row r="13" spans="1:13" ht="15" customHeight="1" x14ac:dyDescent="0.2">
      <c r="A13" s="163">
        <v>3455200</v>
      </c>
      <c r="B13" s="154" t="s">
        <v>1320</v>
      </c>
      <c r="C13" s="155">
        <v>2461.7199999999998</v>
      </c>
      <c r="D13" s="155"/>
      <c r="E13" s="131"/>
      <c r="F13" s="146" t="str">
        <f>IF(A13="","",IFERROR(INDEX(Table_Complete_CGNC_PCG!$E:$E,MATCH(L13,Table_Complete_CGNC_PCG!$I:$I,0)),"? Non trouvé"))</f>
        <v>44566</v>
      </c>
      <c r="G13" s="147" t="str">
        <f>IF(A13="","",IFERROR(INDEX(Table_Complete_CGNC_PCG!$F:$F,MATCH(L13,Table_Complete_CGNC_PCG!$I:$I,0)),"Non trouve — ajouter dans la table"))</f>
        <v>TVA sur autres biens et services</v>
      </c>
      <c r="H13" s="148">
        <f t="shared" si="0"/>
        <v>227.94</v>
      </c>
      <c r="I13" s="148" t="str">
        <f t="shared" si="1"/>
        <v/>
      </c>
      <c r="J13" s="131"/>
      <c r="K13" s="143" t="str">
        <f>IF(A13="","",IFERROR(IF(F13="? Non mappe","Compte non trouve - mapper manuellement",IF(AND(ISNUMBER(SEARCH("516",L13)),D13&gt;0),"CAISSE CREDITRICE - anomalie a corriger",IF(IFERROR(INDEX(Table_Complete_CGNC_PCG!$D:$D,MATCH(L13,Table_Complete_CGNC_PCG!$I:$I,0)),"")="?","Retraitement requis - voir table","OK"))),"Erreur"))</f>
        <v>OK</v>
      </c>
      <c r="L13" s="141" t="str">
        <f>LEFT(TEXT(A13,"0"),5)</f>
        <v>34552</v>
      </c>
    </row>
    <row r="14" spans="1:13" ht="15" customHeight="1" x14ac:dyDescent="0.2">
      <c r="A14" s="163">
        <v>441100</v>
      </c>
      <c r="B14" s="154" t="s">
        <v>1328</v>
      </c>
      <c r="C14" s="155"/>
      <c r="D14" s="155">
        <v>9856</v>
      </c>
      <c r="E14" s="131"/>
      <c r="F14" s="146" t="str">
        <f>IF(A14="","",IFERROR(INDEX(Table_Complete_CGNC_PCG!$E:$E,MATCH(L14,Table_Complete_CGNC_PCG!$I:$I,0)),"? Non trouvé"))</f>
        <v>401</v>
      </c>
      <c r="G14" s="147" t="str">
        <f>IF(A14="","",IFERROR(INDEX(Table_Complete_CGNC_PCG!$F:$F,MATCH(L14,Table_Complete_CGNC_PCG!$I:$I,0)),"Non trouve — ajouter dans la table"))</f>
        <v>Fournisseurs</v>
      </c>
      <c r="H14" s="148" t="str">
        <f t="shared" si="0"/>
        <v/>
      </c>
      <c r="I14" s="148">
        <f t="shared" si="1"/>
        <v>912.59</v>
      </c>
      <c r="J14" s="131"/>
      <c r="K14" s="143" t="str">
        <f>IF(A14="","",IFERROR(IF(F14="? Non mappe","Compte non trouve - mapper manuellement",IF(AND(ISNUMBER(SEARCH("516",L14)),D14&gt;0),"CAISSE CREDITRICE - anomalie a corriger",IF(IFERROR(INDEX(Table_Complete_CGNC_PCG!$D:$D,MATCH(L14,Table_Complete_CGNC_PCG!$I:$I,0)),"")="?","Retraitement requis - voir table","OK"))),"Erreur"))</f>
        <v>OK</v>
      </c>
      <c r="L14" s="141" t="str">
        <f t="shared" ref="L14:L31" si="3">LEFT(TEXT(A14,"0"),4)</f>
        <v>4411</v>
      </c>
    </row>
    <row r="15" spans="1:13" ht="15" customHeight="1" x14ac:dyDescent="0.2">
      <c r="A15" s="165">
        <v>4411010</v>
      </c>
      <c r="B15" s="156" t="s">
        <v>1329</v>
      </c>
      <c r="C15" s="157"/>
      <c r="D15" s="157">
        <v>4484.8999999999996</v>
      </c>
      <c r="E15" s="131"/>
      <c r="F15" s="146" t="str">
        <f>IF(A15="","",IFERROR(INDEX(Table_Complete_CGNC_PCG!$E:$E,MATCH(L15,Table_Complete_CGNC_PCG!$I:$I,0)),"? Non trouvé"))</f>
        <v>401</v>
      </c>
      <c r="G15" s="149" t="str">
        <f>IF(A15="","",IFERROR(INDEX(Table_Complete_CGNC_PCG!$F:$F,MATCH(L15,Table_Complete_CGNC_PCG!$I:$I,0)),"Non trouve — ajouter dans la table"))</f>
        <v>Fournisseurs</v>
      </c>
      <c r="H15" s="148" t="str">
        <f t="shared" si="0"/>
        <v/>
      </c>
      <c r="I15" s="148">
        <f t="shared" si="1"/>
        <v>415.27</v>
      </c>
      <c r="J15" s="131"/>
      <c r="K15" s="143" t="str">
        <f>IF(A15="","",IFERROR(IF(F15="? Non mappe","Compte non trouve - mapper manuellement",IF(AND(ISNUMBER(SEARCH("516",L15)),D15&gt;0),"CAISSE CREDITRICE - anomalie a corriger",IF(IFERROR(INDEX(Table_Complete_CGNC_PCG!$D:$D,MATCH(L15,Table_Complete_CGNC_PCG!$I:$I,0)),"")="?","Retraitement requis - voir table","OK"))),"Erreur"))</f>
        <v>OK</v>
      </c>
      <c r="L15" s="141" t="str">
        <f t="shared" si="3"/>
        <v>4411</v>
      </c>
    </row>
    <row r="16" spans="1:13" ht="15" customHeight="1" x14ac:dyDescent="0.2">
      <c r="A16" s="163">
        <v>4411020</v>
      </c>
      <c r="B16" s="154" t="s">
        <v>1330</v>
      </c>
      <c r="C16" s="155"/>
      <c r="D16" s="155">
        <v>3306.48</v>
      </c>
      <c r="E16" s="131"/>
      <c r="F16" s="146" t="str">
        <f>IF(A16="","",IFERROR(INDEX(Table_Complete_CGNC_PCG!$E:$E,MATCH(L16,Table_Complete_CGNC_PCG!$I:$I,0)),"? Non trouvé"))</f>
        <v>401</v>
      </c>
      <c r="G16" s="147" t="str">
        <f>IF(A16="","",IFERROR(INDEX(Table_Complete_CGNC_PCG!$F:$F,MATCH(L16,Table_Complete_CGNC_PCG!$I:$I,0)),"Non trouve — ajouter dans la table"))</f>
        <v>Fournisseurs</v>
      </c>
      <c r="H16" s="148" t="str">
        <f t="shared" si="0"/>
        <v/>
      </c>
      <c r="I16" s="148">
        <f t="shared" si="1"/>
        <v>306.16000000000003</v>
      </c>
      <c r="J16" s="131"/>
      <c r="K16" s="143" t="str">
        <f>IF(A16="","",IFERROR(IF(F16="? Non mappe","Compte non trouve - mapper manuellement",IF(AND(ISNUMBER(SEARCH("516",L16)),D16&gt;0),"CAISSE CREDITRICE - anomalie a corriger",IF(IFERROR(INDEX(Table_Complete_CGNC_PCG!$D:$D,MATCH(L16,Table_Complete_CGNC_PCG!$I:$I,0)),"")="?","Retraitement requis - voir table","OK"))),"Erreur"))</f>
        <v>OK</v>
      </c>
      <c r="L16" s="141" t="str">
        <f t="shared" si="3"/>
        <v>4411</v>
      </c>
    </row>
    <row r="17" spans="1:12" ht="15" customHeight="1" x14ac:dyDescent="0.2">
      <c r="A17" s="165">
        <v>4411030</v>
      </c>
      <c r="B17" s="156" t="s">
        <v>1331</v>
      </c>
      <c r="C17" s="157"/>
      <c r="D17" s="157">
        <v>997.93</v>
      </c>
      <c r="E17" s="131"/>
      <c r="F17" s="146" t="str">
        <f>IF(A17="","",IFERROR(INDEX(Table_Complete_CGNC_PCG!$E:$E,MATCH(L17,Table_Complete_CGNC_PCG!$I:$I,0)),"? Non trouvé"))</f>
        <v>401</v>
      </c>
      <c r="G17" s="149" t="str">
        <f>IF(A17="","",IFERROR(INDEX(Table_Complete_CGNC_PCG!$F:$F,MATCH(L17,Table_Complete_CGNC_PCG!$I:$I,0)),"Non trouve — ajouter dans la table"))</f>
        <v>Fournisseurs</v>
      </c>
      <c r="H17" s="148" t="str">
        <f t="shared" si="0"/>
        <v/>
      </c>
      <c r="I17" s="148">
        <f t="shared" si="1"/>
        <v>92.4</v>
      </c>
      <c r="J17" s="131"/>
      <c r="K17" s="143" t="str">
        <f>IF(A17="","",IFERROR(IF(F17="? Non mappe","Compte non trouve - mapper manuellement",IF(AND(ISNUMBER(SEARCH("516",L17)),D17&gt;0),"CAISSE CREDITRICE - anomalie a corriger",IF(IFERROR(INDEX(Table_Complete_CGNC_PCG!$D:$D,MATCH(L17,Table_Complete_CGNC_PCG!$I:$I,0)),"")="?","Retraitement requis - voir table","OK"))),"Erreur"))</f>
        <v>OK</v>
      </c>
      <c r="L17" s="141" t="str">
        <f t="shared" si="3"/>
        <v>4411</v>
      </c>
    </row>
    <row r="18" spans="1:12" ht="15" customHeight="1" x14ac:dyDescent="0.2">
      <c r="A18" s="163">
        <v>4411040</v>
      </c>
      <c r="B18" s="154" t="s">
        <v>1332</v>
      </c>
      <c r="C18" s="155"/>
      <c r="D18" s="155">
        <v>1116.3399999999999</v>
      </c>
      <c r="E18" s="131"/>
      <c r="F18" s="146" t="str">
        <f>IF(A18="","",IFERROR(INDEX(Table_Complete_CGNC_PCG!$E:$E,MATCH(L18,Table_Complete_CGNC_PCG!$I:$I,0)),"? Non trouvé"))</f>
        <v>401</v>
      </c>
      <c r="G18" s="147" t="str">
        <f>IF(A18="","",IFERROR(INDEX(Table_Complete_CGNC_PCG!$F:$F,MATCH(L18,Table_Complete_CGNC_PCG!$I:$I,0)),"Non trouve — ajouter dans la table"))</f>
        <v>Fournisseurs</v>
      </c>
      <c r="H18" s="148" t="str">
        <f t="shared" si="0"/>
        <v/>
      </c>
      <c r="I18" s="148">
        <f t="shared" si="1"/>
        <v>103.36</v>
      </c>
      <c r="J18" s="131"/>
      <c r="K18" s="143" t="str">
        <f>IF(A18="","",IFERROR(IF(F18="? Non mappe","Compte non trouve - mapper manuellement",IF(AND(ISNUMBER(SEARCH("516",L18)),D18&gt;0),"CAISSE CREDITRICE - anomalie a corriger",IF(IFERROR(INDEX(Table_Complete_CGNC_PCG!$D:$D,MATCH(L18,Table_Complete_CGNC_PCG!$I:$I,0)),"")="?","Retraitement requis - voir table","OK"))),"Erreur"))</f>
        <v>OK</v>
      </c>
      <c r="L18" s="141" t="str">
        <f t="shared" si="3"/>
        <v>4411</v>
      </c>
    </row>
    <row r="19" spans="1:12" ht="15" customHeight="1" x14ac:dyDescent="0.2">
      <c r="A19" s="165">
        <v>4411050</v>
      </c>
      <c r="B19" s="156" t="s">
        <v>1333</v>
      </c>
      <c r="C19" s="157"/>
      <c r="D19" s="157">
        <v>1925.77</v>
      </c>
      <c r="E19" s="131"/>
      <c r="F19" s="146" t="str">
        <f>IF(A19="","",IFERROR(INDEX(Table_Complete_CGNC_PCG!$E:$E,MATCH(L19,Table_Complete_CGNC_PCG!$I:$I,0)),"? Non trouvé"))</f>
        <v>401</v>
      </c>
      <c r="G19" s="149" t="str">
        <f>IF(A19="","",IFERROR(INDEX(Table_Complete_CGNC_PCG!$F:$F,MATCH(L19,Table_Complete_CGNC_PCG!$I:$I,0)),"Non trouve — ajouter dans la table"))</f>
        <v>Fournisseurs</v>
      </c>
      <c r="H19" s="148" t="str">
        <f t="shared" si="0"/>
        <v/>
      </c>
      <c r="I19" s="148">
        <f t="shared" si="1"/>
        <v>178.31</v>
      </c>
      <c r="J19" s="131"/>
      <c r="K19" s="143" t="str">
        <f>IF(A19="","",IFERROR(IF(F19="? Non mappe","Compte non trouve - mapper manuellement",IF(AND(ISNUMBER(SEARCH("516",L19)),D19&gt;0),"CAISSE CREDITRICE - anomalie a corriger",IF(IFERROR(INDEX(Table_Complete_CGNC_PCG!$D:$D,MATCH(L19,Table_Complete_CGNC_PCG!$I:$I,0)),"")="?","Retraitement requis - voir table","OK"))),"Erreur"))</f>
        <v>OK</v>
      </c>
      <c r="L19" s="141" t="str">
        <f t="shared" si="3"/>
        <v>4411</v>
      </c>
    </row>
    <row r="20" spans="1:12" ht="15" customHeight="1" x14ac:dyDescent="0.2">
      <c r="A20" s="163">
        <v>4411060</v>
      </c>
      <c r="B20" s="154" t="s">
        <v>1334</v>
      </c>
      <c r="C20" s="155"/>
      <c r="D20" s="155">
        <v>1443.51</v>
      </c>
      <c r="E20" s="131"/>
      <c r="F20" s="146" t="str">
        <f>IF(A20="","",IFERROR(INDEX(Table_Complete_CGNC_PCG!$E:$E,MATCH(L20,Table_Complete_CGNC_PCG!$I:$I,0)),"? Non trouvé"))</f>
        <v>401</v>
      </c>
      <c r="G20" s="147" t="str">
        <f>IF(A20="","",IFERROR(INDEX(Table_Complete_CGNC_PCG!$F:$F,MATCH(L20,Table_Complete_CGNC_PCG!$I:$I,0)),"Non trouve — ajouter dans la table"))</f>
        <v>Fournisseurs</v>
      </c>
      <c r="H20" s="148" t="str">
        <f t="shared" si="0"/>
        <v/>
      </c>
      <c r="I20" s="148">
        <f t="shared" si="1"/>
        <v>133.66</v>
      </c>
      <c r="J20" s="131"/>
      <c r="K20" s="143" t="str">
        <f>IF(A20="","",IFERROR(IF(F20="? Non mappe","Compte non trouve - mapper manuellement",IF(AND(ISNUMBER(SEARCH("516",L20)),D20&gt;0),"CAISSE CREDITRICE - anomalie a corriger",IF(IFERROR(INDEX(Table_Complete_CGNC_PCG!$D:$D,MATCH(L20,Table_Complete_CGNC_PCG!$I:$I,0)),"")="?","Retraitement requis - voir table","OK"))),"Erreur"))</f>
        <v>OK</v>
      </c>
      <c r="L20" s="141" t="str">
        <f t="shared" si="3"/>
        <v>4411</v>
      </c>
    </row>
    <row r="21" spans="1:12" ht="15" customHeight="1" x14ac:dyDescent="0.2">
      <c r="A21" s="165">
        <v>4411070</v>
      </c>
      <c r="B21" s="156" t="s">
        <v>1335</v>
      </c>
      <c r="C21" s="157"/>
      <c r="D21" s="157">
        <v>3950</v>
      </c>
      <c r="E21" s="131"/>
      <c r="F21" s="146" t="str">
        <f>IF(A21="","",IFERROR(INDEX(Table_Complete_CGNC_PCG!$E:$E,MATCH(L21,Table_Complete_CGNC_PCG!$I:$I,0)),"? Non trouvé"))</f>
        <v>401</v>
      </c>
      <c r="G21" s="149" t="str">
        <f>IF(A21="","",IFERROR(INDEX(Table_Complete_CGNC_PCG!$F:$F,MATCH(L21,Table_Complete_CGNC_PCG!$I:$I,0)),"Non trouve — ajouter dans la table"))</f>
        <v>Fournisseurs</v>
      </c>
      <c r="H21" s="148" t="str">
        <f t="shared" si="0"/>
        <v/>
      </c>
      <c r="I21" s="148">
        <f t="shared" si="1"/>
        <v>365.74</v>
      </c>
      <c r="J21" s="131"/>
      <c r="K21" s="143" t="str">
        <f>IF(A21="","",IFERROR(IF(F21="? Non mappe","Compte non trouve - mapper manuellement",IF(AND(ISNUMBER(SEARCH("516",L21)),D21&gt;0),"CAISSE CREDITRICE - anomalie a corriger",IF(IFERROR(INDEX(Table_Complete_CGNC_PCG!$D:$D,MATCH(L21,Table_Complete_CGNC_PCG!$I:$I,0)),"")="?","Retraitement requis - voir table","OK"))),"Erreur"))</f>
        <v>OK</v>
      </c>
      <c r="L21" s="141" t="str">
        <f t="shared" si="3"/>
        <v>4411</v>
      </c>
    </row>
    <row r="22" spans="1:12" ht="15" customHeight="1" x14ac:dyDescent="0.2">
      <c r="A22" s="163">
        <v>4417000</v>
      </c>
      <c r="B22" s="154" t="s">
        <v>604</v>
      </c>
      <c r="C22" s="155"/>
      <c r="D22" s="155">
        <v>1450.67</v>
      </c>
      <c r="E22" s="131"/>
      <c r="F22" s="146" t="str">
        <f>IF(A22="","",IFERROR(INDEX(Table_Complete_CGNC_PCG!$E:$E,MATCH(L22,Table_Complete_CGNC_PCG!$I:$I,0)),"? Non trouvé"))</f>
        <v>408</v>
      </c>
      <c r="G22" s="147" t="str">
        <f>IF(A22="","",IFERROR(INDEX(Table_Complete_CGNC_PCG!$F:$F,MATCH(L22,Table_Complete_CGNC_PCG!$I:$I,0)),"Non trouve — ajouter dans la table"))</f>
        <v>Fournisseurs - Factures non parvenues</v>
      </c>
      <c r="H22" s="148" t="str">
        <f t="shared" si="0"/>
        <v/>
      </c>
      <c r="I22" s="148">
        <f t="shared" si="1"/>
        <v>134.32</v>
      </c>
      <c r="J22" s="131"/>
      <c r="K22" s="143" t="str">
        <f>IF(A22="","",IFERROR(IF(F22="? Non mappe","Compte non trouve - mapper manuellement",IF(AND(ISNUMBER(SEARCH("516",L22)),D22&gt;0),"CAISSE CREDITRICE - anomalie a corriger",IF(IFERROR(INDEX(Table_Complete_CGNC_PCG!$D:$D,MATCH(L22,Table_Complete_CGNC_PCG!$I:$I,0)),"")="?","Retraitement requis - voir table","OK"))),"Erreur"))</f>
        <v>OK</v>
      </c>
      <c r="L22" s="141" t="str">
        <f t="shared" si="3"/>
        <v>4417</v>
      </c>
    </row>
    <row r="23" spans="1:12" ht="15" customHeight="1" x14ac:dyDescent="0.2">
      <c r="A23" s="165">
        <v>4432000</v>
      </c>
      <c r="B23" s="156" t="s">
        <v>624</v>
      </c>
      <c r="C23" s="157"/>
      <c r="D23" s="157">
        <v>17321.28</v>
      </c>
      <c r="E23" s="131"/>
      <c r="F23" s="146" t="str">
        <f>IF(A23="","",IFERROR(INDEX(Table_Complete_CGNC_PCG!$E:$E,MATCH(L23,Table_Complete_CGNC_PCG!$I:$I,0)),"? Non trouvé"))</f>
        <v>421</v>
      </c>
      <c r="G23" s="149" t="str">
        <f>IF(A23="","",IFERROR(INDEX(Table_Complete_CGNC_PCG!$F:$F,MATCH(L23,Table_Complete_CGNC_PCG!$I:$I,0)),"Non trouve — ajouter dans la table"))</f>
        <v>Personnel - Rémunérations dues</v>
      </c>
      <c r="H23" s="148" t="str">
        <f t="shared" si="0"/>
        <v/>
      </c>
      <c r="I23" s="148">
        <f t="shared" si="1"/>
        <v>1603.82</v>
      </c>
      <c r="J23" s="131"/>
      <c r="K23" s="143" t="str">
        <f>IF(A23="","",IFERROR(IF(F23="? Non mappe","Compte non trouve - mapper manuellement",IF(AND(ISNUMBER(SEARCH("516",L23)),D23&gt;0),"CAISSE CREDITRICE - anomalie a corriger",IF(IFERROR(INDEX(Table_Complete_CGNC_PCG!$D:$D,MATCH(L23,Table_Complete_CGNC_PCG!$I:$I,0)),"")="?","Retraitement requis - voir table","OK"))),"Erreur"))</f>
        <v>OK</v>
      </c>
      <c r="L23" s="141" t="str">
        <f t="shared" si="3"/>
        <v>4432</v>
      </c>
    </row>
    <row r="24" spans="1:12" s="145" customFormat="1" ht="15" customHeight="1" x14ac:dyDescent="0.2">
      <c r="A24" s="166">
        <v>4455000</v>
      </c>
      <c r="B24" s="160" t="s">
        <v>672</v>
      </c>
      <c r="C24" s="161">
        <v>33723.85</v>
      </c>
      <c r="D24" s="161"/>
      <c r="E24" s="131"/>
      <c r="F24" s="151" t="str">
        <f>IF(A24="","",IFERROR(INDEX(Table_Complete_CGNC_PCG!$E:$E,MATCH(L24,Table_Complete_CGNC_PCG!$I:$I,0)),"? Non trouvé"))</f>
        <v>44571</v>
      </c>
      <c r="G24" s="152" t="str">
        <f>IF(A24="","",IFERROR(INDEX(Table_Complete_CGNC_PCG!$F:$F,MATCH(L24,Table_Complete_CGNC_PCG!$I:$I,0)),"Non trouve — ajouter dans la table"))</f>
        <v>TVA collectée</v>
      </c>
      <c r="H24" s="148">
        <f t="shared" si="0"/>
        <v>3122.58</v>
      </c>
      <c r="I24" s="148" t="str">
        <f t="shared" si="1"/>
        <v/>
      </c>
      <c r="J24" s="131"/>
      <c r="K24" s="143" t="str">
        <f>IF(A24="","",IFERROR(IF(F24="? Non mappe","Compte non trouve - mapper manuellement",IF(AND(ISNUMBER(SEARCH("516",L24)),D24&gt;0),"CAISSE CREDITRICE - anomalie a corriger",IF(IFERROR(INDEX(Table_Complete_CGNC_PCG!$D:$D,MATCH(L24,Table_Complete_CGNC_PCG!$I:$I,0)),"")="?","Retraitement requis - voir table","OK"))),"Erreur"))</f>
        <v>OK</v>
      </c>
      <c r="L24" s="144" t="str">
        <f t="shared" si="3"/>
        <v>4455</v>
      </c>
    </row>
    <row r="25" spans="1:12" s="145" customFormat="1" ht="15" customHeight="1" x14ac:dyDescent="0.2">
      <c r="A25" s="166">
        <v>4457000</v>
      </c>
      <c r="B25" s="160" t="s">
        <v>1339</v>
      </c>
      <c r="C25" s="162"/>
      <c r="D25" s="161">
        <v>19598.650000000001</v>
      </c>
      <c r="E25" s="131"/>
      <c r="F25" s="151" t="str">
        <f>IF(A25="","",IFERROR(INDEX(Table_Complete_CGNC_PCG!$E:$E,MATCH(L25,Table_Complete_CGNC_PCG!$I:$I,0)),"? Non trouvé"))</f>
        <v>447</v>
      </c>
      <c r="G25" s="152" t="str">
        <f>IF(A25="","",IFERROR(INDEX(Table_Complete_CGNC_PCG!$F:$F,MATCH(L25,Table_Complete_CGNC_PCG!$I:$I,0)),"Non trouve — ajouter dans la table"))</f>
        <v>Autres impôts, taxes et versements assimilés</v>
      </c>
      <c r="H25" s="148" t="str">
        <f t="shared" si="0"/>
        <v/>
      </c>
      <c r="I25" s="148">
        <f t="shared" si="1"/>
        <v>1814.69</v>
      </c>
      <c r="J25" s="131"/>
      <c r="K25" s="143" t="str">
        <f>IF(A25="","",IFERROR(IF(F25="? Non mappe","Compte non trouve - mapper manuellement",IF(AND(ISNUMBER(SEARCH("516",L25)),D25&gt;0),"CAISSE CREDITRICE - anomalie a corriger",IF(IFERROR(INDEX(Table_Complete_CGNC_PCG!$D:$D,MATCH(L25,Table_Complete_CGNC_PCG!$I:$I,0)),"")="?","Retraitement requis - voir table","OK"))),"Erreur"))</f>
        <v>OK</v>
      </c>
      <c r="L25" s="144" t="str">
        <f t="shared" si="3"/>
        <v>4457</v>
      </c>
    </row>
    <row r="26" spans="1:12" ht="15" customHeight="1" x14ac:dyDescent="0.2">
      <c r="A26" s="165">
        <v>4456000</v>
      </c>
      <c r="B26" s="156" t="s">
        <v>1340</v>
      </c>
      <c r="C26" s="157"/>
      <c r="D26" s="157">
        <v>48500</v>
      </c>
      <c r="E26" s="131"/>
      <c r="F26" s="146" t="str">
        <f>IF(A26="","",IFERROR(INDEX(Table_Complete_CGNC_PCG!$E:$E,MATCH(L26,Table_Complete_CGNC_PCG!$I:$I,0)),"? Non trouvé"))</f>
        <v>44551</v>
      </c>
      <c r="G26" s="149" t="str">
        <f>IF(A26="","",IFERROR(INDEX(Table_Complete_CGNC_PCG!$F:$F,MATCH(L26,Table_Complete_CGNC_PCG!$I:$I,0)),"Non trouve — ajouter dans la table"))</f>
        <v>TVA à décaisser</v>
      </c>
      <c r="H26" s="148" t="str">
        <f t="shared" si="0"/>
        <v/>
      </c>
      <c r="I26" s="148">
        <f t="shared" si="1"/>
        <v>4490.74</v>
      </c>
      <c r="J26" s="131"/>
      <c r="K26" s="143" t="str">
        <f>IF(A26="","",IFERROR(IF(F26="? Non mappe","Compte non trouve - mapper manuellement",IF(AND(ISNUMBER(SEARCH("516",L26)),D26&gt;0),"CAISSE CREDITRICE - anomalie a corriger",IF(IFERROR(INDEX(Table_Complete_CGNC_PCG!$D:$D,MATCH(L26,Table_Complete_CGNC_PCG!$I:$I,0)),"")="?","Retraitement requis - voir table","OK"))),"Erreur"))</f>
        <v>OK</v>
      </c>
      <c r="L26" s="141" t="str">
        <f t="shared" si="3"/>
        <v>4456</v>
      </c>
    </row>
    <row r="27" spans="1:12" ht="15" customHeight="1" x14ac:dyDescent="0.2">
      <c r="A27" s="163">
        <v>4463000</v>
      </c>
      <c r="B27" s="154" t="s">
        <v>692</v>
      </c>
      <c r="C27" s="155"/>
      <c r="D27" s="155">
        <v>98270.5</v>
      </c>
      <c r="E27" s="131"/>
      <c r="F27" s="146" t="str">
        <f>IF(A27="","",IFERROR(INDEX(Table_Complete_CGNC_PCG!$E:$E,MATCH(L27,Table_Complete_CGNC_PCG!$I:$I,0)),"? Non trouvé"))</f>
        <v>455</v>
      </c>
      <c r="G27" s="147" t="str">
        <f>IF(A27="","",IFERROR(INDEX(Table_Complete_CGNC_PCG!$F:$F,MATCH(L27,Table_Complete_CGNC_PCG!$I:$I,0)),"Non trouve — ajouter dans la table"))</f>
        <v>Associés - Comptes courants</v>
      </c>
      <c r="H27" s="148" t="str">
        <f t="shared" si="0"/>
        <v/>
      </c>
      <c r="I27" s="148">
        <f t="shared" si="1"/>
        <v>9099.1200000000008</v>
      </c>
      <c r="J27" s="131"/>
      <c r="K27" s="143" t="str">
        <f>IF(A27="","",IFERROR(IF(F27="? Non mappe","Compte non trouve - mapper manuellement",IF(AND(ISNUMBER(SEARCH("516",L27)),D27&gt;0),"CAISSE CREDITRICE - anomalie a corriger",IF(IFERROR(INDEX(Table_Complete_CGNC_PCG!$D:$D,MATCH(L27,Table_Complete_CGNC_PCG!$I:$I,0)),"")="?","Retraitement requis - voir table","OK"))),"Erreur"))</f>
        <v>OK</v>
      </c>
      <c r="L27" s="141" t="str">
        <f t="shared" si="3"/>
        <v>4463</v>
      </c>
    </row>
    <row r="28" spans="1:12" ht="15" customHeight="1" x14ac:dyDescent="0.2">
      <c r="A28" s="165">
        <v>5141000</v>
      </c>
      <c r="B28" s="156" t="s">
        <v>1321</v>
      </c>
      <c r="C28" s="157">
        <v>951383.74</v>
      </c>
      <c r="D28" s="157"/>
      <c r="E28" s="131"/>
      <c r="F28" s="153" t="str">
        <f>IF(A28="","",IFERROR(INDEX(Table_Complete_CGNC_PCG!$E:$E,MATCH(L28,Table_Complete_CGNC_PCG!$I:$I,0)),"? Non mappe"))</f>
        <v>5121 / 5124</v>
      </c>
      <c r="G28" s="149" t="str">
        <f>IF(A28="","",IFERROR(INDEX(Table_Complete_CGNC_PCG!$F:$F,MATCH(L28,Table_Complete_CGNC_PCG!$I:$I,0)),"Non trouve — ajouter dans la table"))</f>
        <v>Comptes en euros / Comptes en devises</v>
      </c>
      <c r="H28" s="148">
        <f t="shared" si="0"/>
        <v>88091.09</v>
      </c>
      <c r="I28" s="148" t="str">
        <f t="shared" si="1"/>
        <v/>
      </c>
      <c r="J28" s="131"/>
      <c r="K28" s="143" t="str">
        <f>IF(A28="","",IFERROR(IF(F28="? Non mappe","Compte non trouve - mapper manuellement",IF(AND(ISNUMBER(SEARCH("516",L28)),D28&gt;0),"CAISSE CREDITRICE - anomalie a corriger",IF(IFERROR(INDEX(Table_Complete_CGNC_PCG!$D:$D,MATCH(L28,Table_Complete_CGNC_PCG!$I:$I,0)),"")="?","Retraitement requis - voir table","OK"))),"Erreur"))</f>
        <v>OK</v>
      </c>
      <c r="L28" s="141" t="str">
        <f t="shared" si="3"/>
        <v>5141</v>
      </c>
    </row>
    <row r="29" spans="1:12" ht="15" customHeight="1" x14ac:dyDescent="0.2">
      <c r="A29" s="163">
        <v>5161000</v>
      </c>
      <c r="B29" s="154" t="s">
        <v>758</v>
      </c>
      <c r="C29" s="155">
        <v>60015.39</v>
      </c>
      <c r="D29" s="155"/>
      <c r="E29" s="131"/>
      <c r="F29" s="146" t="str">
        <f>IF(A29="","",IFERROR(INDEX(Table_Complete_CGNC_PCG!$E:$E,MATCH(L29,Table_Complete_CGNC_PCG!$I:$I,0)),"? Non mappe"))</f>
        <v>530</v>
      </c>
      <c r="G29" s="147" t="str">
        <f>IF(A29="","",IFERROR(INDEX(Table_Complete_CGNC_PCG!$F:$F,MATCH(L29,Table_Complete_CGNC_PCG!$I:$I,0)),"Non trouve — ajouter dans la table"))</f>
        <v>Caisse</v>
      </c>
      <c r="H29" s="148">
        <f t="shared" si="0"/>
        <v>5556.98</v>
      </c>
      <c r="I29" s="148" t="str">
        <f t="shared" si="1"/>
        <v/>
      </c>
      <c r="J29" s="131"/>
      <c r="K29" s="143" t="str">
        <f>IF(A29="","",IFERROR(IF(F29="? Non mappe","Compte non trouve - mapper manuellement",IF(AND(ISNUMBER(SEARCH("516",L29)),D29&gt;0),"CAISSE CREDITRICE - anomalie a corriger",IF(IFERROR(INDEX(Table_Complete_CGNC_PCG!$D:$D,MATCH(L29,Table_Complete_CGNC_PCG!$I:$I,0)),"")="?","Retraitement requis - voir table","OK"))),"Erreur"))</f>
        <v>OK</v>
      </c>
      <c r="L29" s="141" t="str">
        <f t="shared" si="3"/>
        <v>5161</v>
      </c>
    </row>
    <row r="30" spans="1:12" ht="15" customHeight="1" x14ac:dyDescent="0.2">
      <c r="A30" s="165">
        <v>6121100</v>
      </c>
      <c r="B30" s="156" t="s">
        <v>1322</v>
      </c>
      <c r="C30" s="157">
        <v>93901.1</v>
      </c>
      <c r="D30" s="157"/>
      <c r="E30" s="131"/>
      <c r="F30" s="153" t="str">
        <f>IF(A30="","",IFERROR(INDEX(Table_Complete_CGNC_PCG!$E:$E,MATCH(L30,Table_Complete_CGNC_PCG!$I:$I,0)),"? Non mappe"))</f>
        <v>601</v>
      </c>
      <c r="G30" s="149" t="str">
        <f>IF(A30="","",IFERROR(INDEX(Table_Complete_CGNC_PCG!$F:$F,MATCH(L30,Table_Complete_CGNC_PCG!$I:$I,0)),"Non trouve — ajouter dans la table"))</f>
        <v>Achats stockés - Matières premières et fournitures</v>
      </c>
      <c r="H30" s="148">
        <f t="shared" si="0"/>
        <v>8694.5499999999993</v>
      </c>
      <c r="I30" s="148" t="str">
        <f t="shared" si="1"/>
        <v/>
      </c>
      <c r="J30" s="131"/>
      <c r="K30" s="143" t="str">
        <f>IF(A30="","",IFERROR(IF(F30="? Non mappe","Compte non trouve - mapper manuellement",IF(AND(ISNUMBER(SEARCH("516",L30)),D30&gt;0),"CAISSE CREDITRICE - anomalie a corriger",IF(IFERROR(INDEX(Table_Complete_CGNC_PCG!$D:$D,MATCH(L30,Table_Complete_CGNC_PCG!$I:$I,0)),"")="?","Retraitement requis - voir table","OK"))),"Erreur"))</f>
        <v>OK</v>
      </c>
      <c r="L30" s="141" t="str">
        <f t="shared" si="3"/>
        <v>6121</v>
      </c>
    </row>
    <row r="31" spans="1:12" ht="15" customHeight="1" x14ac:dyDescent="0.2">
      <c r="A31" s="163">
        <v>6122400</v>
      </c>
      <c r="B31" s="154" t="s">
        <v>799</v>
      </c>
      <c r="C31" s="155">
        <v>20595.419999999998</v>
      </c>
      <c r="D31" s="155"/>
      <c r="E31" s="131"/>
      <c r="F31" s="146" t="str">
        <f>IF(A31="","",IFERROR(INDEX(Table_Complete_CGNC_PCG!$E:$E,MATCH(L31,Table_Complete_CGNC_PCG!$I:$I,0)),"? Non mappe"))</f>
        <v>602</v>
      </c>
      <c r="G31" s="147" t="str">
        <f>IF(A31="","",IFERROR(INDEX(Table_Complete_CGNC_PCG!$F:$F,MATCH(L31,Table_Complete_CGNC_PCG!$I:$I,0)),"Non trouve — ajouter dans la table"))</f>
        <v>Achats stockés - Autres approvisionnements</v>
      </c>
      <c r="H31" s="148">
        <f t="shared" si="0"/>
        <v>1906.98</v>
      </c>
      <c r="I31" s="148" t="str">
        <f t="shared" si="1"/>
        <v/>
      </c>
      <c r="J31" s="131"/>
      <c r="K31" s="143" t="str">
        <f>IF(A31="","",IFERROR(IF(F31="? Non mappe","Compte non trouve - mapper manuellement",IF(AND(ISNUMBER(SEARCH("516",L31)),D31&gt;0),"CAISSE CREDITRICE - anomalie a corriger",IF(IFERROR(INDEX(Table_Complete_CGNC_PCG!$D:$D,MATCH(L31,Table_Complete_CGNC_PCG!$I:$I,0)),"")="?","Retraitement requis - voir table","OK"))),"Erreur"))</f>
        <v>OK</v>
      </c>
      <c r="L31" s="141" t="str">
        <f t="shared" si="3"/>
        <v>6122</v>
      </c>
    </row>
    <row r="32" spans="1:12" ht="15" customHeight="1" x14ac:dyDescent="0.2">
      <c r="A32" s="165">
        <v>6125100</v>
      </c>
      <c r="B32" s="156" t="s">
        <v>1323</v>
      </c>
      <c r="C32" s="157">
        <v>9560.7099999999991</v>
      </c>
      <c r="D32" s="157"/>
      <c r="E32" s="131"/>
      <c r="F32" s="153" t="str">
        <f>IF(A32="","",IFERROR(INDEX(Table_Complete_CGNC_PCG!$E:$E,MATCH(L32,Table_Complete_CGNC_PCG!$I:$I,0)),"? Non mappe"))</f>
        <v>6061</v>
      </c>
      <c r="G32" s="149" t="str">
        <f>IF(A32="","",IFERROR(INDEX(Table_Complete_CGNC_PCG!$F:$F,MATCH(L32,Table_Complete_CGNC_PCG!$I:$I,0)),"Non trouve — ajouter dans la table"))</f>
        <v>Fournitures non stockables (eau, énergie)</v>
      </c>
      <c r="H32" s="148">
        <f t="shared" si="0"/>
        <v>885.25</v>
      </c>
      <c r="I32" s="148" t="str">
        <f t="shared" si="1"/>
        <v/>
      </c>
      <c r="J32" s="131"/>
      <c r="K32" s="143" t="str">
        <f>IF(A32="","",IFERROR(IF(F32="? Non mappe","Compte non trouve - mapper manuellement",IF(AND(ISNUMBER(SEARCH("516",L32)),D32&gt;0),"CAISSE CREDITRICE - anomalie a corriger",IF(IFERROR(INDEX(Table_Complete_CGNC_PCG!$D:$D,MATCH(L32,Table_Complete_CGNC_PCG!$I:$I,0)),"")="?","Retraitement requis - voir table","OK"))),"Erreur"))</f>
        <v>OK</v>
      </c>
      <c r="L32" s="141" t="str">
        <f t="shared" ref="L32:L41" si="4">LEFT(TEXT(A32,"0"),5)</f>
        <v>61251</v>
      </c>
    </row>
    <row r="33" spans="1:12" ht="15" customHeight="1" x14ac:dyDescent="0.2">
      <c r="A33" s="163">
        <v>6125300</v>
      </c>
      <c r="B33" s="154" t="s">
        <v>817</v>
      </c>
      <c r="C33" s="155">
        <v>45528.66</v>
      </c>
      <c r="D33" s="155"/>
      <c r="E33" s="131"/>
      <c r="F33" s="146" t="str">
        <f>IF(A33="","",IFERROR(INDEX(Table_Complete_CGNC_PCG!$E:$E,MATCH(L33,Table_Complete_CGNC_PCG!$I:$I,0)),"? Non mappe"))</f>
        <v>6063</v>
      </c>
      <c r="G33" s="147" t="str">
        <f>IF(A33="","",IFERROR(INDEX(Table_Complete_CGNC_PCG!$F:$F,MATCH(L33,Table_Complete_CGNC_PCG!$I:$I,0)),"Non trouve — ajouter dans la table"))</f>
        <v>Fournitures d'entretien et de petit équipement</v>
      </c>
      <c r="H33" s="148">
        <f t="shared" si="0"/>
        <v>4215.62</v>
      </c>
      <c r="I33" s="148" t="str">
        <f t="shared" si="1"/>
        <v/>
      </c>
      <c r="J33" s="131"/>
      <c r="K33" s="143" t="str">
        <f>IF(A33="","",IFERROR(IF(F33="? Non mappe","Compte non trouve - mapper manuellement",IF(AND(ISNUMBER(SEARCH("516",L33)),D33&gt;0),"CAISSE CREDITRICE - anomalie a corriger",IF(IFERROR(INDEX(Table_Complete_CGNC_PCG!$D:$D,MATCH(L33,Table_Complete_CGNC_PCG!$I:$I,0)),"")="?","Retraitement requis - voir table","OK"))),"Erreur"))</f>
        <v>OK</v>
      </c>
      <c r="L33" s="141" t="str">
        <f t="shared" si="4"/>
        <v>61253</v>
      </c>
    </row>
    <row r="34" spans="1:12" ht="15" customHeight="1" x14ac:dyDescent="0.2">
      <c r="A34" s="165">
        <v>6133100</v>
      </c>
      <c r="B34" s="156" t="s">
        <v>850</v>
      </c>
      <c r="C34" s="157">
        <v>46577.37</v>
      </c>
      <c r="D34" s="157"/>
      <c r="E34" s="131"/>
      <c r="F34" s="153" t="str">
        <f>IF(A34="","",IFERROR(INDEX(Table_Complete_CGNC_PCG!$E:$E,MATCH(L34,Table_Complete_CGNC_PCG!$I:$I,0)),"? Non mappe"))</f>
        <v>6152</v>
      </c>
      <c r="G34" s="149" t="str">
        <f>IF(A34="","",IFERROR(INDEX(Table_Complete_CGNC_PCG!$F:$F,MATCH(L34,Table_Complete_CGNC_PCG!$I:$I,0)),"Non trouve — ajouter dans la table"))</f>
        <v>Entretien et réparation sur biens immobiliers</v>
      </c>
      <c r="H34" s="148">
        <f t="shared" si="0"/>
        <v>4312.72</v>
      </c>
      <c r="I34" s="148" t="str">
        <f t="shared" si="1"/>
        <v/>
      </c>
      <c r="J34" s="131"/>
      <c r="K34" s="143" t="str">
        <f>IF(A34="","",IFERROR(IF(F34="? Non mappe","Compte non trouve - mapper manuellement",IF(AND(ISNUMBER(SEARCH("516",L34)),D34&gt;0),"CAISSE CREDITRICE - anomalie a corriger",IF(IFERROR(INDEX(Table_Complete_CGNC_PCG!$D:$D,MATCH(L34,Table_Complete_CGNC_PCG!$I:$I,0)),"")="?","Retraitement requis - voir table","OK"))),"Erreur"))</f>
        <v>OK</v>
      </c>
      <c r="L34" s="141" t="str">
        <f t="shared" si="4"/>
        <v>61331</v>
      </c>
    </row>
    <row r="35" spans="1:12" ht="15" customHeight="1" x14ac:dyDescent="0.2">
      <c r="A35" s="165">
        <v>6131200</v>
      </c>
      <c r="B35" s="156" t="s">
        <v>1346</v>
      </c>
      <c r="C35" s="157">
        <v>114000</v>
      </c>
      <c r="D35" s="157"/>
      <c r="E35" s="131"/>
      <c r="F35" s="153" t="str">
        <f>IF(A35="","",IFERROR(INDEX(Table_Complete_CGNC_PCG!$E:$E,MATCH(L35,Table_Complete_CGNC_PCG!$I:$I,0)),"? Non mappe"))</f>
        <v>6132</v>
      </c>
      <c r="G35" s="149" t="str">
        <f>IF(A35="","",IFERROR(INDEX(Table_Complete_CGNC_PCG!$F:$F,MATCH(L35,Table_Complete_CGNC_PCG!$I:$I,0)),"Non trouve — ajouter dans la table"))</f>
        <v>Locations immobilières</v>
      </c>
      <c r="H35" s="148">
        <f t="shared" si="0"/>
        <v>10555.56</v>
      </c>
      <c r="I35" s="148" t="str">
        <f t="shared" si="1"/>
        <v/>
      </c>
      <c r="J35" s="131"/>
      <c r="K35" s="143" t="str">
        <f>IF(A35="","",IFERROR(IF(F35="? Non mappe","Compte non trouve - mapper manuellement",IF(AND(ISNUMBER(SEARCH("516",L35)),D35&gt;0),"CAISSE CREDITRICE - anomalie a corriger",IF(IFERROR(INDEX(Table_Complete_CGNC_PCG!$D:$D,MATCH(L35,Table_Complete_CGNC_PCG!$I:$I,0)),"")="?","Retraitement requis - voir table","OK"))),"Erreur"))</f>
        <v>OK</v>
      </c>
      <c r="L35" s="141" t="str">
        <f t="shared" si="4"/>
        <v>61312</v>
      </c>
    </row>
    <row r="36" spans="1:12" ht="15" customHeight="1" x14ac:dyDescent="0.2">
      <c r="A36" s="165">
        <v>6136500</v>
      </c>
      <c r="B36" s="156" t="s">
        <v>1347</v>
      </c>
      <c r="C36" s="157">
        <v>99388</v>
      </c>
      <c r="D36" s="157"/>
      <c r="E36" s="131"/>
      <c r="F36" s="153" t="str">
        <f>IF(A36="","",IFERROR(INDEX(Table_Complete_CGNC_PCG!$E:$E,MATCH(L36,Table_Complete_CGNC_PCG!$I:$I,0)),"? Non mappe"))</f>
        <v>6226</v>
      </c>
      <c r="G36" s="149" t="str">
        <f>IF(A36="","",IFERROR(INDEX(Table_Complete_CGNC_PCG!$F:$F,MATCH(L36,Table_Complete_CGNC_PCG!$I:$I,0)),"Non trouve — ajouter dans la table"))</f>
        <v>Honoraires</v>
      </c>
      <c r="H36" s="148">
        <f t="shared" si="0"/>
        <v>9202.59</v>
      </c>
      <c r="I36" s="148" t="str">
        <f t="shared" si="1"/>
        <v/>
      </c>
      <c r="J36" s="131"/>
      <c r="K36" s="143" t="str">
        <f>IF(A36="","",IFERROR(IF(F36="? Non mappe","Compte non trouve - mapper manuellement",IF(AND(ISNUMBER(SEARCH("516",L36)),D36&gt;0),"CAISSE CREDITRICE - anomalie a corriger",IF(IFERROR(INDEX(Table_Complete_CGNC_PCG!$D:$D,MATCH(L36,Table_Complete_CGNC_PCG!$I:$I,0)),"")="?","Retraitement requis - voir table","OK"))),"Erreur"))</f>
        <v>OK</v>
      </c>
      <c r="L36" s="141" t="str">
        <f t="shared" si="4"/>
        <v>61365</v>
      </c>
    </row>
    <row r="37" spans="1:12" ht="15" customHeight="1" x14ac:dyDescent="0.2">
      <c r="A37" s="163">
        <v>6136500</v>
      </c>
      <c r="B37" s="154" t="s">
        <v>1338</v>
      </c>
      <c r="C37" s="155">
        <v>30605</v>
      </c>
      <c r="D37" s="155"/>
      <c r="E37" s="131"/>
      <c r="F37" s="146" t="str">
        <f>IF(A37="","",IFERROR(INDEX(Table_Complete_CGNC_PCG!$E:$E,MATCH(L37,Table_Complete_CGNC_PCG!$I:$I,0)),"? Non mappe"))</f>
        <v>6226</v>
      </c>
      <c r="G37" s="147" t="str">
        <f>IF(A37="","",IFERROR(INDEX(Table_Complete_CGNC_PCG!$F:$F,MATCH(L37,Table_Complete_CGNC_PCG!$I:$I,0)),"Non trouve — ajouter dans la table"))</f>
        <v>Honoraires</v>
      </c>
      <c r="H37" s="148">
        <f t="shared" si="0"/>
        <v>2833.8</v>
      </c>
      <c r="I37" s="148" t="str">
        <f t="shared" si="1"/>
        <v/>
      </c>
      <c r="J37" s="131"/>
      <c r="K37" s="143" t="str">
        <f>IF(A37="","",IFERROR(IF(F37="? Non mappe","Compte non trouve - mapper manuellement",IF(AND(ISNUMBER(SEARCH("516",L37)),D37&gt;0),"CAISSE CREDITRICE - anomalie a corriger",IF(IFERROR(INDEX(Table_Complete_CGNC_PCG!$D:$D,MATCH(L37,Table_Complete_CGNC_PCG!$I:$I,0)),"")="?","Retraitement requis - voir table","OK"))),"Erreur"))</f>
        <v>OK</v>
      </c>
      <c r="L37" s="141" t="str">
        <f t="shared" si="4"/>
        <v>61365</v>
      </c>
    </row>
    <row r="38" spans="1:12" ht="15" customHeight="1" x14ac:dyDescent="0.2">
      <c r="A38" s="165">
        <v>6141500</v>
      </c>
      <c r="B38" s="156" t="s">
        <v>887</v>
      </c>
      <c r="C38" s="157">
        <v>4990</v>
      </c>
      <c r="D38" s="157"/>
      <c r="E38" s="131"/>
      <c r="F38" s="153" t="str">
        <f>IF(A38="","",IFERROR(INDEX(Table_Complete_CGNC_PCG!$E:$E,MATCH(L38,Table_Complete_CGNC_PCG!$I:$I,0)),"? Non mappe"))</f>
        <v>6181</v>
      </c>
      <c r="G38" s="149" t="str">
        <f>IF(A38="","",IFERROR(INDEX(Table_Complete_CGNC_PCG!$F:$F,MATCH(L38,Table_Complete_CGNC_PCG!$I:$I,0)),"Non trouve — ajouter dans la table"))</f>
        <v>Documentation générale</v>
      </c>
      <c r="H38" s="148">
        <f t="shared" si="0"/>
        <v>462.04</v>
      </c>
      <c r="I38" s="148" t="str">
        <f t="shared" si="1"/>
        <v/>
      </c>
      <c r="J38" s="131"/>
      <c r="K38" s="143" t="str">
        <f>IF(A38="","",IFERROR(IF(F38="? Non mappe","Compte non trouve - mapper manuellement",IF(AND(ISNUMBER(SEARCH("516",L38)),D38&gt;0),"CAISSE CREDITRICE - anomalie a corriger",IF(IFERROR(INDEX(Table_Complete_CGNC_PCG!$D:$D,MATCH(L38,Table_Complete_CGNC_PCG!$I:$I,0)),"")="?","Retraitement requis - voir table","OK"))),"Erreur"))</f>
        <v>OK</v>
      </c>
      <c r="L38" s="141" t="str">
        <f t="shared" si="4"/>
        <v>61415</v>
      </c>
    </row>
    <row r="39" spans="1:12" ht="15" customHeight="1" x14ac:dyDescent="0.2">
      <c r="A39" s="163">
        <v>6143100</v>
      </c>
      <c r="B39" s="154" t="s">
        <v>903</v>
      </c>
      <c r="C39" s="155">
        <v>32654.78</v>
      </c>
      <c r="D39" s="155"/>
      <c r="E39" s="131"/>
      <c r="F39" s="146" t="str">
        <f>IF(A39="","",IFERROR(INDEX(Table_Complete_CGNC_PCG!$E:$E,MATCH(L39,Table_Complete_CGNC_PCG!$I:$I,0)),"? Non mappe"))</f>
        <v>6251</v>
      </c>
      <c r="G39" s="147" t="str">
        <f>IF(A39="","",IFERROR(INDEX(Table_Complete_CGNC_PCG!$F:$F,MATCH(L39,Table_Complete_CGNC_PCG!$I:$I,0)),"Non trouve — ajouter dans la table"))</f>
        <v>Voyages et déplacements</v>
      </c>
      <c r="H39" s="148">
        <f t="shared" si="0"/>
        <v>3023.59</v>
      </c>
      <c r="I39" s="148" t="str">
        <f t="shared" si="1"/>
        <v/>
      </c>
      <c r="J39" s="131"/>
      <c r="K39" s="143" t="str">
        <f>IF(A39="","",IFERROR(IF(F39="? Non mappe","Compte non trouve - mapper manuellement",IF(AND(ISNUMBER(SEARCH("516",L39)),D39&gt;0),"CAISSE CREDITRICE - anomalie a corriger",IF(IFERROR(INDEX(Table_Complete_CGNC_PCG!$D:$D,MATCH(L39,Table_Complete_CGNC_PCG!$I:$I,0)),"")="?","Retraitement requis - voir table","OK"))),"Erreur"))</f>
        <v>OK</v>
      </c>
      <c r="L39" s="141" t="str">
        <f t="shared" si="4"/>
        <v>61431</v>
      </c>
    </row>
    <row r="40" spans="1:12" ht="15" customHeight="1" x14ac:dyDescent="0.2">
      <c r="A40" s="165">
        <v>6143600</v>
      </c>
      <c r="B40" s="156" t="s">
        <v>909</v>
      </c>
      <c r="C40" s="157">
        <v>20153.52</v>
      </c>
      <c r="D40" s="157"/>
      <c r="E40" s="131"/>
      <c r="F40" s="153" t="str">
        <f>IF(A40="","",IFERROR(INDEX(Table_Complete_CGNC_PCG!$E:$E,MATCH(L40,Table_Complete_CGNC_PCG!$I:$I,0)),"? Non mappe"))</f>
        <v>6257</v>
      </c>
      <c r="G40" s="149" t="str">
        <f>IF(A40="","",IFERROR(INDEX(Table_Complete_CGNC_PCG!$F:$F,MATCH(L40,Table_Complete_CGNC_PCG!$I:$I,0)),"Non trouve — ajouter dans la table"))</f>
        <v>Réceptions</v>
      </c>
      <c r="H40" s="148">
        <f t="shared" si="0"/>
        <v>1866.07</v>
      </c>
      <c r="I40" s="148" t="str">
        <f t="shared" si="1"/>
        <v/>
      </c>
      <c r="J40" s="131"/>
      <c r="K40" s="143" t="str">
        <f>IF(A40="","",IFERROR(IF(F40="? Non mappe","Compte non trouve - mapper manuellement",IF(AND(ISNUMBER(SEARCH("516",L40)),D40&gt;0),"CAISSE CREDITRICE - anomalie a corriger",IF(IFERROR(INDEX(Table_Complete_CGNC_PCG!$D:$D,MATCH(L40,Table_Complete_CGNC_PCG!$I:$I,0)),"")="?","Retraitement requis - voir table","OK"))),"Erreur"))</f>
        <v>OK</v>
      </c>
      <c r="L40" s="141" t="str">
        <f t="shared" si="4"/>
        <v>61436</v>
      </c>
    </row>
    <row r="41" spans="1:12" ht="15" customHeight="1" x14ac:dyDescent="0.2">
      <c r="A41" s="163">
        <v>6145500</v>
      </c>
      <c r="B41" s="154" t="s">
        <v>926</v>
      </c>
      <c r="C41" s="155">
        <v>3359.97</v>
      </c>
      <c r="D41" s="155"/>
      <c r="E41" s="131"/>
      <c r="F41" s="146" t="str">
        <f>IF(A41="","",IFERROR(INDEX(Table_Complete_CGNC_PCG!$E:$E,MATCH(L41,Table_Complete_CGNC_PCG!$I:$I,0)),"? Non mappe"))</f>
        <v>6262</v>
      </c>
      <c r="G41" s="147" t="str">
        <f>IF(A41="","",IFERROR(INDEX(Table_Complete_CGNC_PCG!$F:$F,MATCH(L41,Table_Complete_CGNC_PCG!$I:$I,0)),"Non trouve — ajouter dans la table"))</f>
        <v>Frais de téléphone</v>
      </c>
      <c r="H41" s="148">
        <f t="shared" si="0"/>
        <v>311.11</v>
      </c>
      <c r="I41" s="148" t="str">
        <f t="shared" si="1"/>
        <v/>
      </c>
      <c r="J41" s="131"/>
      <c r="K41" s="143" t="str">
        <f>IF(A41="","",IFERROR(IF(F41="? Non mappe","Compte non trouve - mapper manuellement",IF(AND(ISNUMBER(SEARCH("516",L41)),D41&gt;0),"CAISSE CREDITRICE - anomalie a corriger",IF(IFERROR(INDEX(Table_Complete_CGNC_PCG!$D:$D,MATCH(L41,Table_Complete_CGNC_PCG!$I:$I,0)),"")="?","Retraitement requis - voir table","OK"))),"Erreur"))</f>
        <v>OK</v>
      </c>
      <c r="L41" s="141" t="str">
        <f t="shared" si="4"/>
        <v>61455</v>
      </c>
    </row>
    <row r="42" spans="1:12" ht="15" customHeight="1" x14ac:dyDescent="0.2">
      <c r="A42" s="163">
        <v>61312000</v>
      </c>
      <c r="B42" s="154" t="s">
        <v>1348</v>
      </c>
      <c r="C42" s="155">
        <v>78068.5</v>
      </c>
      <c r="D42" s="155"/>
      <c r="E42" s="131"/>
      <c r="F42" s="146" t="str">
        <f>IF(A42="","",IFERROR(INDEX(Table_Complete_CGNC_PCG!$E:$E,MATCH(L42,Table_Complete_CGNC_PCG!$I:$I,0)),"? Non mappe"))</f>
        <v>6132</v>
      </c>
      <c r="G42" s="147" t="str">
        <f>IF(A42="","",IFERROR(INDEX(Table_Complete_CGNC_PCG!$F:$F,MATCH(L42,Table_Complete_CGNC_PCG!$I:$I,0)),"Non trouve — ajouter dans la table"))</f>
        <v>Locations immobilières</v>
      </c>
      <c r="H42" s="148">
        <f t="shared" si="0"/>
        <v>7228.56</v>
      </c>
      <c r="I42" s="148" t="str">
        <f t="shared" si="1"/>
        <v/>
      </c>
      <c r="J42" s="131"/>
      <c r="K42" s="143" t="str">
        <f>IF(A42="","",IFERROR(IF(F42="? Non mappe","Compte non trouve - mapper manuellement",IF(AND(ISNUMBER(SEARCH("516",L42)),D42&gt;0),"CAISSE CREDITRICE - anomalie a corriger",IF(IFERROR(INDEX(Table_Complete_CGNC_PCG!$D:$D,MATCH(L42,Table_Complete_CGNC_PCG!$I:$I,0)),"")="?","Retraitement requis - voir table","OK"))),"Erreur"))</f>
        <v>OK</v>
      </c>
      <c r="L42" s="141" t="str">
        <f t="shared" ref="L42:L57" si="5">LEFT(TEXT(A42,"0"),5)</f>
        <v>61312</v>
      </c>
    </row>
    <row r="43" spans="1:12" ht="15" customHeight="1" x14ac:dyDescent="0.2">
      <c r="A43" s="165">
        <v>6147300</v>
      </c>
      <c r="B43" s="156" t="s">
        <v>933</v>
      </c>
      <c r="C43" s="157">
        <v>1121.9000000000001</v>
      </c>
      <c r="D43" s="157"/>
      <c r="E43" s="131"/>
      <c r="F43" s="153" t="str">
        <f>IF(A43="","",IFERROR(INDEX(Table_Complete_CGNC_PCG!$E:$E,MATCH(L43,Table_Complete_CGNC_PCG!$I:$I,0)),"? Non mappe"))</f>
        <v>6278</v>
      </c>
      <c r="G43" s="149" t="str">
        <f>IF(A43="","",IFERROR(INDEX(Table_Complete_CGNC_PCG!$F:$F,MATCH(L43,Table_Complete_CGNC_PCG!$I:$I,0)),"Non trouve — ajouter dans la table"))</f>
        <v>Autres frais et commissions sur prestations de services</v>
      </c>
      <c r="H43" s="148">
        <f t="shared" si="0"/>
        <v>103.88</v>
      </c>
      <c r="I43" s="148" t="str">
        <f t="shared" si="1"/>
        <v/>
      </c>
      <c r="J43" s="131"/>
      <c r="K43" s="143" t="str">
        <f>IF(A43="","",IFERROR(IF(F43="? Non mappe","Compte non trouve - mapper manuellement",IF(AND(ISNUMBER(SEARCH("516",L43)),D43&gt;0),"CAISSE CREDITRICE - anomalie a corriger",IF(IFERROR(INDEX(Table_Complete_CGNC_PCG!$D:$D,MATCH(L43,Table_Complete_CGNC_PCG!$I:$I,0)),"")="?","Retraitement requis - voir table","OK"))),"Erreur"))</f>
        <v>OK</v>
      </c>
      <c r="L43" s="141" t="str">
        <f t="shared" si="5"/>
        <v>61473</v>
      </c>
    </row>
    <row r="44" spans="1:12" ht="15" customHeight="1" x14ac:dyDescent="0.2">
      <c r="A44" s="165">
        <v>6144100</v>
      </c>
      <c r="B44" s="156" t="s">
        <v>1350</v>
      </c>
      <c r="C44" s="157">
        <v>18540.599999999999</v>
      </c>
      <c r="D44" s="157"/>
      <c r="E44" s="131"/>
      <c r="F44" s="153" t="str">
        <f>IF(A44="","",IFERROR(INDEX(Table_Complete_CGNC_PCG!$E:$E,MATCH(L44,Table_Complete_CGNC_PCG!$I:$I,0)),"? Non mappe"))</f>
        <v>6231</v>
      </c>
      <c r="G44" s="149" t="str">
        <f>IF(A44="","",IFERROR(INDEX(Table_Complete_CGNC_PCG!$F:$F,MATCH(L44,Table_Complete_CGNC_PCG!$I:$I,0)),"Non trouve — ajouter dans la table"))</f>
        <v>Annonces et insertions</v>
      </c>
      <c r="H44" s="148">
        <f t="shared" si="0"/>
        <v>1716.72</v>
      </c>
      <c r="I44" s="148" t="str">
        <f t="shared" si="1"/>
        <v/>
      </c>
      <c r="J44" s="131"/>
      <c r="K44" s="143" t="str">
        <f>IF(A44="","",IFERROR(IF(F44="? Non mappe","Compte non trouve - mapper manuellement",IF(AND(ISNUMBER(SEARCH("516",L44)),D44&gt;0),"CAISSE CREDITRICE - anomalie a corriger",IF(IFERROR(INDEX(Table_Complete_CGNC_PCG!$D:$D,MATCH(L44,Table_Complete_CGNC_PCG!$I:$I,0)),"")="?","Retraitement requis - voir table","OK"))),"Erreur"))</f>
        <v>OK</v>
      </c>
      <c r="L44" s="141" t="str">
        <f t="shared" si="5"/>
        <v>61441</v>
      </c>
    </row>
    <row r="45" spans="1:12" ht="15" customHeight="1" x14ac:dyDescent="0.2">
      <c r="A45" s="165">
        <v>6161100</v>
      </c>
      <c r="B45" s="156" t="s">
        <v>1351</v>
      </c>
      <c r="C45" s="157">
        <v>28239.8</v>
      </c>
      <c r="D45" s="157"/>
      <c r="E45" s="131"/>
      <c r="F45" s="153" t="str">
        <f>IF(A45="","",IFERROR(INDEX(Table_Complete_CGNC_PCG!$E:$E,MATCH(L45,Table_Complete_CGNC_PCG!$I:$I,0)),"? Non mappe"))</f>
        <v>63513</v>
      </c>
      <c r="G45" s="149" t="str">
        <f>IF(A45="","",IFERROR(INDEX(Table_Complete_CGNC_PCG!$F:$F,MATCH(L45,Table_Complete_CGNC_PCG!$I:$I,0)),"Non trouve — ajouter dans la table"))</f>
        <v>Autres impôts locaux</v>
      </c>
      <c r="H45" s="148">
        <f t="shared" si="0"/>
        <v>2614.8000000000002</v>
      </c>
      <c r="I45" s="148" t="str">
        <f t="shared" si="1"/>
        <v/>
      </c>
      <c r="J45" s="131"/>
      <c r="K45" s="143" t="str">
        <f>IF(A45="","",IFERROR(IF(F45="? Non mappe","Compte non trouve - mapper manuellement",IF(AND(ISNUMBER(SEARCH("516",L45)),D45&gt;0),"CAISSE CREDITRICE - anomalie a corriger",IF(IFERROR(INDEX(Table_Complete_CGNC_PCG!$D:$D,MATCH(L45,Table_Complete_CGNC_PCG!$I:$I,0)),"")="?","Retraitement requis - voir table","OK"))),"Erreur"))</f>
        <v>OK</v>
      </c>
      <c r="L45" s="141" t="str">
        <f>LEFT(TEXT(A45,"0"),5)</f>
        <v>61611</v>
      </c>
    </row>
    <row r="46" spans="1:12" ht="15" customHeight="1" x14ac:dyDescent="0.2">
      <c r="A46" s="165">
        <v>6134000</v>
      </c>
      <c r="B46" s="156" t="s">
        <v>1349</v>
      </c>
      <c r="C46" s="157">
        <v>28565.34</v>
      </c>
      <c r="D46" s="157"/>
      <c r="E46" s="131"/>
      <c r="F46" s="153" t="str">
        <f>IF(A46="","",IFERROR(INDEX(Table_Complete_CGNC_PCG!$E:$E,MATCH(L46,Table_Complete_CGNC_PCG!$I:$I,0)),"? Non mappe"))</f>
        <v>616</v>
      </c>
      <c r="G46" s="149" t="str">
        <f>IF(A46="","",IFERROR(INDEX(Table_Complete_CGNC_PCG!$F:$F,MATCH(L46,Table_Complete_CGNC_PCG!$I:$I,0)),"Non trouve — ajouter dans la table"))</f>
        <v>Primes d'assurances</v>
      </c>
      <c r="H46" s="148">
        <f t="shared" si="0"/>
        <v>2644.94</v>
      </c>
      <c r="I46" s="148" t="str">
        <f t="shared" si="1"/>
        <v/>
      </c>
      <c r="J46" s="131"/>
      <c r="K46" s="143" t="str">
        <f>IF(A46="","",IFERROR(IF(F46="? Non mappe","Compte non trouve - mapper manuellement",IF(AND(ISNUMBER(SEARCH("516",L46)),D46&gt;0),"CAISSE CREDITRICE - anomalie a corriger",IF(IFERROR(INDEX(Table_Complete_CGNC_PCG!$D:$D,MATCH(L46,Table_Complete_CGNC_PCG!$I:$I,0)),"")="?","Retraitement requis - voir table","OK"))),"Erreur"))</f>
        <v>OK</v>
      </c>
      <c r="L46" s="141" t="str">
        <f>LEFT(TEXT(A46,"0"),4)</f>
        <v>6134</v>
      </c>
    </row>
    <row r="47" spans="1:12" ht="15" customHeight="1" x14ac:dyDescent="0.2">
      <c r="A47" s="163">
        <v>6171100</v>
      </c>
      <c r="B47" s="154" t="s">
        <v>951</v>
      </c>
      <c r="C47" s="155">
        <v>115609.28</v>
      </c>
      <c r="D47" s="155"/>
      <c r="E47" s="131"/>
      <c r="F47" s="146" t="str">
        <f>IF(A47="","",IFERROR(INDEX(Table_Complete_CGNC_PCG!$E:$E,MATCH(L47,Table_Complete_CGNC_PCG!$I:$I,0)),"? Non mappe"))</f>
        <v>6411</v>
      </c>
      <c r="G47" s="147" t="str">
        <f>IF(A47="","",IFERROR(INDEX(Table_Complete_CGNC_PCG!$F:$F,MATCH(L47,Table_Complete_CGNC_PCG!$I:$I,0)),"Non trouve — ajouter dans la table"))</f>
        <v>Salaires, appointements</v>
      </c>
      <c r="H47" s="148">
        <f t="shared" si="0"/>
        <v>10704.56</v>
      </c>
      <c r="I47" s="148" t="str">
        <f t="shared" si="1"/>
        <v/>
      </c>
      <c r="J47" s="131"/>
      <c r="K47" s="143" t="str">
        <f>IF(A47="","",IFERROR(IF(F47="? Non mappe","Compte non trouve - mapper manuellement",IF(AND(ISNUMBER(SEARCH("516",L47)),D47&gt;0),"CAISSE CREDITRICE - anomalie a corriger",IF(IFERROR(INDEX(Table_Complete_CGNC_PCG!$D:$D,MATCH(L47,Table_Complete_CGNC_PCG!$I:$I,0)),"")="?","Retraitement requis - voir table","OK"))),"Erreur"))</f>
        <v>OK</v>
      </c>
      <c r="L47" s="141" t="str">
        <f t="shared" si="5"/>
        <v>61711</v>
      </c>
    </row>
    <row r="48" spans="1:12" ht="15" customHeight="1" x14ac:dyDescent="0.2">
      <c r="A48" s="165">
        <v>6174100</v>
      </c>
      <c r="B48" s="156" t="s">
        <v>966</v>
      </c>
      <c r="C48" s="157">
        <v>19085.21</v>
      </c>
      <c r="D48" s="157"/>
      <c r="E48" s="131"/>
      <c r="F48" s="153" t="str">
        <f>IF(A48="","",IFERROR(INDEX(Table_Complete_CGNC_PCG!$E:$E,MATCH(L48,Table_Complete_CGNC_PCG!$I:$I,0)),"? Non mappe"))</f>
        <v>6451</v>
      </c>
      <c r="G48" s="149" t="str">
        <f>IF(A48="","",IFERROR(INDEX(Table_Complete_CGNC_PCG!$F:$F,MATCH(L48,Table_Complete_CGNC_PCG!$I:$I,0)),"Non trouve — ajouter dans la table"))</f>
        <v>Cotisations à l'Urssaf</v>
      </c>
      <c r="H48" s="148">
        <f t="shared" si="0"/>
        <v>1767.15</v>
      </c>
      <c r="I48" s="148" t="str">
        <f t="shared" si="1"/>
        <v/>
      </c>
      <c r="J48" s="131"/>
      <c r="K48" s="143" t="str">
        <f>IF(A48="","",IFERROR(IF(F48="? Non mappe","Compte non trouve - mapper manuellement",IF(AND(ISNUMBER(SEARCH("516",L48)),D48&gt;0),"CAISSE CREDITRICE - anomalie a corriger",IF(IFERROR(INDEX(Table_Complete_CGNC_PCG!$D:$D,MATCH(L48,Table_Complete_CGNC_PCG!$I:$I,0)),"")="?","Retraitement requis - voir table","OK"))),"Erreur"))</f>
        <v>OK</v>
      </c>
      <c r="L48" s="141" t="str">
        <f t="shared" si="5"/>
        <v>61741</v>
      </c>
    </row>
    <row r="49" spans="1:21" ht="15" customHeight="1" x14ac:dyDescent="0.2">
      <c r="A49" s="163">
        <v>6174300</v>
      </c>
      <c r="B49" s="154" t="s">
        <v>975</v>
      </c>
      <c r="C49" s="155">
        <v>4283.3500000000004</v>
      </c>
      <c r="D49" s="155"/>
      <c r="E49" s="131"/>
      <c r="F49" s="146" t="str">
        <f>IF(A49="","",IFERROR(INDEX(Table_Complete_CGNC_PCG!$E:$E,MATCH(L49,Table_Complete_CGNC_PCG!$I:$I,0)),"? Non mappe"))</f>
        <v>6452</v>
      </c>
      <c r="G49" s="147" t="str">
        <f>IF(A49="","",IFERROR(INDEX(Table_Complete_CGNC_PCG!$F:$F,MATCH(L49,Table_Complete_CGNC_PCG!$I:$I,0)),"Non trouve — ajouter dans la table"))</f>
        <v>Cotisations aux mutuelles</v>
      </c>
      <c r="H49" s="148">
        <f t="shared" si="0"/>
        <v>396.61</v>
      </c>
      <c r="I49" s="148" t="str">
        <f t="shared" si="1"/>
        <v/>
      </c>
      <c r="J49" s="131"/>
      <c r="K49" s="143" t="str">
        <f>IF(A49="","",IFERROR(IF(F49="? Non mappe","Compte non trouve - mapper manuellement",IF(AND(ISNUMBER(SEARCH("516",L49)),D49&gt;0),"CAISSE CREDITRICE - anomalie a corriger",IF(IFERROR(INDEX(Table_Complete_CGNC_PCG!$D:$D,MATCH(L49,Table_Complete_CGNC_PCG!$I:$I,0)),"")="?","Retraitement requis - voir table","OK"))),"Erreur"))</f>
        <v>OK</v>
      </c>
      <c r="L49" s="141" t="str">
        <f t="shared" si="5"/>
        <v>61743</v>
      </c>
    </row>
    <row r="50" spans="1:21" ht="15" customHeight="1" x14ac:dyDescent="0.2">
      <c r="A50" s="165">
        <v>6583000</v>
      </c>
      <c r="B50" s="156" t="s">
        <v>1324</v>
      </c>
      <c r="C50" s="157">
        <v>150</v>
      </c>
      <c r="D50" s="157"/>
      <c r="E50" s="131"/>
      <c r="F50" s="153" t="str">
        <f>IF(A50="","",IFERROR(INDEX(Table_Complete_CGNC_PCG!$E:$E,MATCH(L50,Table_Complete_CGNC_PCG!$I:$I,0)),"? Non mappe"))</f>
        <v>6712</v>
      </c>
      <c r="G50" s="149" t="str">
        <f>IF(A50="","",IFERROR(INDEX(Table_Complete_CGNC_PCG!$F:$F,MATCH(L50,Table_Complete_CGNC_PCG!$I:$I,0)),"Non trouve — ajouter dans la table"))</f>
        <v>Pénalités et amendes fiscales et pénales</v>
      </c>
      <c r="H50" s="148">
        <f t="shared" si="0"/>
        <v>13.89</v>
      </c>
      <c r="I50" s="148" t="str">
        <f t="shared" si="1"/>
        <v/>
      </c>
      <c r="J50" s="131"/>
      <c r="K50" s="143" t="str">
        <f>IF(A50="","",IFERROR(IF(F50="? Non mappe","Compte non trouve - mapper manuellement",IF(AND(ISNUMBER(SEARCH("516",L50)),D50&gt;0),"CAISSE CREDITRICE - anomalie a corriger",IF(IFERROR(INDEX(Table_Complete_CGNC_PCG!$D:$D,MATCH(L50,Table_Complete_CGNC_PCG!$I:$I,0)),"")="?","Retraitement requis - voir table","OK"))),"Erreur"))</f>
        <v>OK</v>
      </c>
      <c r="L50" s="141" t="str">
        <f>LEFT(TEXT(A50,"0"),4)</f>
        <v>6583</v>
      </c>
    </row>
    <row r="51" spans="1:21" ht="15" customHeight="1" x14ac:dyDescent="0.2">
      <c r="A51" s="165">
        <v>6192000</v>
      </c>
      <c r="B51" s="156" t="s">
        <v>1353</v>
      </c>
      <c r="C51" s="157">
        <v>3462.22</v>
      </c>
      <c r="D51" s="157"/>
      <c r="E51" s="131"/>
      <c r="F51" s="153" t="str">
        <f>IF(A51="","",IFERROR(INDEX(Table_Complete_CGNC_PCG!$E:$E,MATCH(L51,Table_Complete_CGNC_PCG!$I:$I,0)),"? Non mappe"))</f>
        <v>68111</v>
      </c>
      <c r="G51" s="149" t="str">
        <f>IF(A51="","",IFERROR(INDEX(Table_Complete_CGNC_PCG!$F:$F,MATCH(L51,Table_Complete_CGNC_PCG!$I:$I,0)),"Non trouve — ajouter dans la table"))</f>
        <v>Immobilisations incorporelles</v>
      </c>
      <c r="H51" s="148">
        <f t="shared" si="0"/>
        <v>320.58</v>
      </c>
      <c r="I51" s="148" t="str">
        <f t="shared" si="1"/>
        <v/>
      </c>
      <c r="J51" s="131"/>
      <c r="K51" s="143" t="str">
        <f>IF(A51="","",IFERROR(IF(F51="? Non mappe","Compte non trouve - mapper manuellement",IF(AND(ISNUMBER(SEARCH("516",L51)),D51&gt;0),"CAISSE CREDITRICE - anomalie a corriger",IF(IFERROR(INDEX(Table_Complete_CGNC_PCG!$D:$D,MATCH(L51,Table_Complete_CGNC_PCG!$I:$I,0)),"")="?","Retraitement requis - voir table","OK"))),"Erreur"))</f>
        <v>OK</v>
      </c>
      <c r="L51" s="141" t="str">
        <f>LEFT(TEXT(A51,"0"),4)</f>
        <v>6192</v>
      </c>
    </row>
    <row r="52" spans="1:21" ht="15" customHeight="1" x14ac:dyDescent="0.2">
      <c r="A52" s="165">
        <v>6193000</v>
      </c>
      <c r="B52" s="156" t="s">
        <v>1352</v>
      </c>
      <c r="C52" s="157">
        <v>4045.36</v>
      </c>
      <c r="D52" s="157"/>
      <c r="E52" s="131"/>
      <c r="F52" s="153" t="str">
        <f>IF(A52="","",IFERROR(INDEX(Table_Complete_CGNC_PCG!$E:$E,MATCH(L52,Table_Complete_CGNC_PCG!$I:$I,0)),"? Non mappe"))</f>
        <v>68112</v>
      </c>
      <c r="G52" s="149" t="str">
        <f>IF(A52="","",IFERROR(INDEX(Table_Complete_CGNC_PCG!$F:$F,MATCH(L52,Table_Complete_CGNC_PCG!$I:$I,0)),"Non trouve — ajouter dans la table"))</f>
        <v>Immobilisations corporelles</v>
      </c>
      <c r="H52" s="148">
        <f t="shared" si="0"/>
        <v>374.57</v>
      </c>
      <c r="I52" s="148" t="str">
        <f t="shared" si="1"/>
        <v/>
      </c>
      <c r="J52" s="131"/>
      <c r="K52" s="143" t="str">
        <f>IF(A52="","",IFERROR(IF(F52="? Non mappe","Compte non trouve - mapper manuellement",IF(AND(ISNUMBER(SEARCH("516",L52)),D52&gt;0),"CAISSE CREDITRICE - anomalie a corriger",IF(IFERROR(INDEX(Table_Complete_CGNC_PCG!$D:$D,MATCH(L52,Table_Complete_CGNC_PCG!$I:$I,0)),"")="?","Retraitement requis - voir table","OK"))),"Erreur"))</f>
        <v>OK</v>
      </c>
      <c r="L52" s="141" t="str">
        <f>LEFT(TEXT(A52,"0"),4)</f>
        <v>6193</v>
      </c>
    </row>
    <row r="53" spans="1:21" ht="15" customHeight="1" x14ac:dyDescent="0.2">
      <c r="A53" s="163">
        <v>6588000</v>
      </c>
      <c r="B53" s="154" t="s">
        <v>1072</v>
      </c>
      <c r="C53" s="155">
        <v>2007.82</v>
      </c>
      <c r="D53" s="155"/>
      <c r="E53" s="131"/>
      <c r="F53" s="146" t="str">
        <f>IF(A53="","",IFERROR(INDEX(Table_Complete_CGNC_PCG!$E:$E,MATCH(L53,Table_Complete_CGNC_PCG!$I:$I,0)),"? Non mappe"))</f>
        <v>672</v>
      </c>
      <c r="G53" s="147" t="str">
        <f>IF(A53="","",IFERROR(INDEX(Table_Complete_CGNC_PCG!$F:$F,MATCH(L53,Table_Complete_CGNC_PCG!$I:$I,0)),"Non trouve — ajouter dans la table"))</f>
        <v>Charges sur exercices antérieurs</v>
      </c>
      <c r="H53" s="148">
        <f t="shared" si="0"/>
        <v>185.91</v>
      </c>
      <c r="I53" s="148" t="str">
        <f t="shared" si="1"/>
        <v/>
      </c>
      <c r="J53" s="131"/>
      <c r="K53" s="143" t="str">
        <f>IF(A53="","",IFERROR(IF(F53="? Non mappe","Compte non trouve - mapper manuellement",IF(AND(ISNUMBER(SEARCH("516",L53)),D53&gt;0),"CAISSE CREDITRICE - anomalie a corriger",IF(IFERROR(INDEX(Table_Complete_CGNC_PCG!$D:$D,MATCH(L53,Table_Complete_CGNC_PCG!$I:$I,0)),"")="?","Retraitement requis - voir table","OK"))),"Erreur"))</f>
        <v>OK</v>
      </c>
      <c r="L53" s="141" t="str">
        <f>LEFT(TEXT(A53,"0"),4)</f>
        <v>6588</v>
      </c>
    </row>
    <row r="54" spans="1:21" ht="15" customHeight="1" x14ac:dyDescent="0.2">
      <c r="A54" s="167">
        <v>7124300</v>
      </c>
      <c r="B54" s="154" t="s">
        <v>1341</v>
      </c>
      <c r="C54" s="155"/>
      <c r="D54" s="155">
        <v>621180.56000000006</v>
      </c>
      <c r="E54" s="131"/>
      <c r="F54" s="146" t="str">
        <f>IF(A54="","",IFERROR(INDEX(Table_Complete_CGNC_PCG!$E:$E,MATCH(L54,Table_Complete_CGNC_PCG!$I:$I,0)),"? Non mappe"))</f>
        <v>706</v>
      </c>
      <c r="G54" s="147" t="str">
        <f>IF(A54="","",IFERROR(INDEX(Table_Complete_CGNC_PCG!$F:$F,MATCH(L54,Table_Complete_CGNC_PCG!$I:$I,0)),"Non trouve — ajouter dans la table"))</f>
        <v>Prestations de services</v>
      </c>
      <c r="H54" s="148" t="str">
        <f t="shared" si="0"/>
        <v/>
      </c>
      <c r="I54" s="148">
        <f t="shared" si="1"/>
        <v>57516.72</v>
      </c>
      <c r="J54" s="131"/>
      <c r="K54" s="143" t="str">
        <f>IF(A54="","",IFERROR(IF(F54="? Non mappe","Compte non trouve - mapper manuellement",IF(AND(ISNUMBER(SEARCH("516",L54)),D54&gt;0),"CAISSE CREDITRICE - anomalie a corriger",IF(IFERROR(INDEX(Table_Complete_CGNC_PCG!$D:$D,MATCH(L54,Table_Complete_CGNC_PCG!$I:$I,0)),"")="?","Retraitement requis - voir table","OK"))),"Erreur"))</f>
        <v>OK</v>
      </c>
      <c r="L54" s="141" t="str">
        <f t="shared" si="5"/>
        <v>71243</v>
      </c>
      <c r="N54" s="135"/>
      <c r="O54" s="135"/>
      <c r="P54" s="135"/>
      <c r="Q54" s="135"/>
      <c r="R54" s="135"/>
      <c r="S54" s="135" t="str">
        <f t="shared" ref="N54:U67" si="6">IF(R54="","",IF(AND(LEN(R54)&gt;3,RIGHT(R54,1)="0"),LEFT(R54,LEN(R54)-1),R54))</f>
        <v/>
      </c>
      <c r="T54" s="135" t="str">
        <f t="shared" si="6"/>
        <v/>
      </c>
      <c r="U54" s="135" t="str">
        <f t="shared" si="6"/>
        <v/>
      </c>
    </row>
    <row r="55" spans="1:21" ht="15" customHeight="1" x14ac:dyDescent="0.2">
      <c r="A55" s="168">
        <v>7124310</v>
      </c>
      <c r="B55" s="156" t="s">
        <v>1342</v>
      </c>
      <c r="C55" s="157"/>
      <c r="D55" s="157">
        <v>96524.09</v>
      </c>
      <c r="E55" s="131"/>
      <c r="F55" s="153" t="str">
        <f>IF(A55="","",IFERROR(INDEX(Table_Complete_CGNC_PCG!$E:$E,MATCH(L55,Table_Complete_CGNC_PCG!$I:$I,0)),"? Non mappe"))</f>
        <v>706</v>
      </c>
      <c r="G55" s="149" t="str">
        <f>IF(A55="","",IFERROR(INDEX(Table_Complete_CGNC_PCG!$F:$F,MATCH(L55,Table_Complete_CGNC_PCG!$I:$I,0)),"Non trouve — ajouter dans la table"))</f>
        <v>Prestations de services</v>
      </c>
      <c r="H55" s="148" t="str">
        <f t="shared" si="0"/>
        <v/>
      </c>
      <c r="I55" s="148">
        <f t="shared" si="1"/>
        <v>8937.42</v>
      </c>
      <c r="J55" s="131"/>
      <c r="K55" s="143" t="str">
        <f>IF(A55="","",IFERROR(IF(F55="? Non mappe","Compte non trouve - mapper manuellement",IF(AND(ISNUMBER(SEARCH("516",L55)),D55&gt;0),"CAISSE CREDITRICE - anomalie a corriger",IF(IFERROR(INDEX(Table_Complete_CGNC_PCG!$D:$D,MATCH(L55,Table_Complete_CGNC_PCG!$I:$I,0)),"")="?","Retraitement requis - voir table","OK"))),"Erreur"))</f>
        <v>OK</v>
      </c>
      <c r="L55" s="141" t="str">
        <f t="shared" si="5"/>
        <v>71243</v>
      </c>
      <c r="N55" s="135"/>
      <c r="O55" s="135"/>
      <c r="P55" s="135"/>
      <c r="Q55" s="135"/>
      <c r="R55" s="135"/>
      <c r="S55" s="135" t="str">
        <f t="shared" si="6"/>
        <v/>
      </c>
      <c r="T55" s="135" t="str">
        <f t="shared" si="6"/>
        <v/>
      </c>
      <c r="U55" s="135" t="str">
        <f t="shared" si="6"/>
        <v/>
      </c>
    </row>
    <row r="56" spans="1:21" ht="15" customHeight="1" x14ac:dyDescent="0.2">
      <c r="A56" s="167">
        <v>7124320</v>
      </c>
      <c r="B56" s="154" t="s">
        <v>1343</v>
      </c>
      <c r="C56" s="155"/>
      <c r="D56" s="155">
        <v>88903.51</v>
      </c>
      <c r="E56" s="131"/>
      <c r="F56" s="146" t="str">
        <f>IF(A56="","",IFERROR(INDEX(Table_Complete_CGNC_PCG!$E:$E,MATCH(L56,Table_Complete_CGNC_PCG!$I:$I,0)),"? Non mappe"))</f>
        <v>706</v>
      </c>
      <c r="G56" s="147" t="str">
        <f>IF(A56="","",IFERROR(INDEX(Table_Complete_CGNC_PCG!$F:$F,MATCH(L56,Table_Complete_CGNC_PCG!$I:$I,0)),"Non trouve — ajouter dans la table"))</f>
        <v>Prestations de services</v>
      </c>
      <c r="H56" s="148" t="str">
        <f t="shared" si="0"/>
        <v/>
      </c>
      <c r="I56" s="148">
        <f t="shared" si="1"/>
        <v>8231.81</v>
      </c>
      <c r="J56" s="131"/>
      <c r="K56" s="143" t="str">
        <f>IF(A56="","",IFERROR(IF(F56="? Non mappe","Compte non trouve - mapper manuellement",IF(AND(ISNUMBER(SEARCH("516",L56)),D56&gt;0),"CAISSE CREDITRICE - anomalie a corriger",IF(IFERROR(INDEX(Table_Complete_CGNC_PCG!$D:$D,MATCH(L56,Table_Complete_CGNC_PCG!$I:$I,0)),"")="?","Retraitement requis - voir table","OK"))),"Erreur"))</f>
        <v>OK</v>
      </c>
      <c r="L56" s="141" t="str">
        <f t="shared" si="5"/>
        <v>71243</v>
      </c>
      <c r="N56" s="135"/>
      <c r="O56" s="135"/>
      <c r="P56" s="135"/>
      <c r="Q56" s="135"/>
      <c r="R56" s="135"/>
      <c r="S56" s="135" t="str">
        <f t="shared" si="6"/>
        <v/>
      </c>
      <c r="T56" s="135" t="str">
        <f t="shared" si="6"/>
        <v/>
      </c>
      <c r="U56" s="135" t="str">
        <f t="shared" si="6"/>
        <v/>
      </c>
    </row>
    <row r="57" spans="1:21" ht="15" customHeight="1" x14ac:dyDescent="0.2">
      <c r="A57" s="168">
        <v>7124330</v>
      </c>
      <c r="B57" s="156" t="s">
        <v>1344</v>
      </c>
      <c r="C57" s="157"/>
      <c r="D57" s="157">
        <v>68750.45</v>
      </c>
      <c r="E57" s="131"/>
      <c r="F57" s="153" t="str">
        <f>IF(A57="","",IFERROR(INDEX(Table_Complete_CGNC_PCG!$E:$E,MATCH(L57,Table_Complete_CGNC_PCG!$I:$I,0)),"? Non mappe"))</f>
        <v>706</v>
      </c>
      <c r="G57" s="149" t="str">
        <f>IF(A57="","",IFERROR(INDEX(Table_Complete_CGNC_PCG!$F:$F,MATCH(L57,Table_Complete_CGNC_PCG!$I:$I,0)),"Non trouve — ajouter dans la table"))</f>
        <v>Prestations de services</v>
      </c>
      <c r="H57" s="148" t="str">
        <f t="shared" si="0"/>
        <v/>
      </c>
      <c r="I57" s="148">
        <f t="shared" si="1"/>
        <v>6365.78</v>
      </c>
      <c r="J57" s="131"/>
      <c r="K57" s="143" t="str">
        <f>IF(A57="","",IFERROR(IF(F57="? Non mappe","Compte non trouve - mapper manuellement",IF(AND(ISNUMBER(SEARCH("516",L57)),D57&gt;0),"CAISSE CREDITRICE - anomalie a corriger",IF(IFERROR(INDEX(Table_Complete_CGNC_PCG!$D:$D,MATCH(L57,Table_Complete_CGNC_PCG!$I:$I,0)),"")="?","Retraitement requis - voir table","OK"))),"Erreur"))</f>
        <v>OK</v>
      </c>
      <c r="L57" s="141" t="str">
        <f t="shared" si="5"/>
        <v>71243</v>
      </c>
      <c r="N57" s="135"/>
      <c r="O57" s="135"/>
      <c r="P57" s="135"/>
      <c r="Q57" s="135"/>
      <c r="R57" s="135"/>
      <c r="S57" s="135" t="str">
        <f t="shared" si="6"/>
        <v/>
      </c>
      <c r="T57" s="135" t="str">
        <f t="shared" si="6"/>
        <v/>
      </c>
      <c r="U57" s="135" t="str">
        <f t="shared" si="6"/>
        <v/>
      </c>
    </row>
    <row r="58" spans="1:21" ht="15" customHeight="1" x14ac:dyDescent="0.2">
      <c r="A58" s="167">
        <v>7111000</v>
      </c>
      <c r="B58" s="154" t="s">
        <v>1345</v>
      </c>
      <c r="C58" s="155"/>
      <c r="D58" s="155">
        <v>96487.89</v>
      </c>
      <c r="E58" s="131"/>
      <c r="F58" s="146" t="str">
        <f>IF(A58="","",IFERROR(INDEX(Table_Complete_CGNC_PCG!$E:$E,MATCH(L58,Table_Complete_CGNC_PCG!$I:$I,0)),"? Non mappe"))</f>
        <v>707</v>
      </c>
      <c r="G58" s="147" t="str">
        <f>IF(A58="","",IFERROR(INDEX(Table_Complete_CGNC_PCG!$F:$F,MATCH(L58,Table_Complete_CGNC_PCG!$I:$I,0)),"Non trouve — ajouter dans la table"))</f>
        <v>Ventes de marchandises</v>
      </c>
      <c r="H58" s="148" t="str">
        <f t="shared" si="0"/>
        <v/>
      </c>
      <c r="I58" s="148">
        <f t="shared" si="1"/>
        <v>8934.06</v>
      </c>
      <c r="J58" s="131"/>
      <c r="K58" s="143" t="str">
        <f>IF(A58="","",IFERROR(IF(F58="? Non mappe","Compte non trouve - mapper manuellement",IF(AND(ISNUMBER(SEARCH("516",L58)),D58&gt;0),"CAISSE CREDITRICE - anomalie a corriger",IF(IFERROR(INDEX(Table_Complete_CGNC_PCG!$D:$D,MATCH(L58,Table_Complete_CGNC_PCG!$I:$I,0)),"")="?","Retraitement requis - voir table","OK"))),"Erreur"))</f>
        <v>OK</v>
      </c>
      <c r="L58" s="141" t="str">
        <f>LEFT(TEXT(A58,"0"),3)</f>
        <v>711</v>
      </c>
      <c r="N58" s="135"/>
      <c r="O58" s="135"/>
      <c r="P58" s="135"/>
      <c r="Q58" s="135"/>
      <c r="R58" s="135"/>
      <c r="S58" s="135" t="str">
        <f t="shared" si="6"/>
        <v/>
      </c>
      <c r="T58" s="135" t="str">
        <f t="shared" si="6"/>
        <v/>
      </c>
      <c r="U58" s="135" t="str">
        <f t="shared" si="6"/>
        <v/>
      </c>
    </row>
    <row r="59" spans="1:21" ht="15" customHeight="1" x14ac:dyDescent="0.2">
      <c r="A59" s="163"/>
      <c r="B59" s="154"/>
      <c r="C59" s="155"/>
      <c r="D59" s="155"/>
      <c r="E59" s="131"/>
      <c r="F59" s="146" t="str">
        <f>IF(A59="","",IFERROR(INDEX(Table_Complete_CGNC_PCG!$E:$E,MATCH(L59,Table_Complete_CGNC_PCG!$I:$I,0)),"? Non mappe"))</f>
        <v/>
      </c>
      <c r="G59" s="147" t="str">
        <f>IF(A59="","",IFERROR(INDEX(Table_Complete_CGNC_PCG!$F:$F,MATCH(L59,Table_Complete_CGNC_PCG!$I:$I,0)),"Non trouve — ajouter dans la table"))</f>
        <v/>
      </c>
      <c r="H59" s="148" t="str">
        <f t="shared" si="0"/>
        <v/>
      </c>
      <c r="I59" s="148" t="str">
        <f t="shared" si="1"/>
        <v/>
      </c>
      <c r="J59" s="131"/>
      <c r="K59" s="143" t="str">
        <f>IF(A59="","",IFERROR(IF(F59="? Non mappe","Compte non trouve - mapper manuellement",IF(AND(ISNUMBER(SEARCH("516",L59)),D59&gt;0),"CAISSE CREDITRICE - anomalie a corriger",IF(IFERROR(INDEX(Table_Complete_CGNC_PCG!$D:$D,MATCH(L59,Table_Complete_CGNC_PCG!$I:$I,0)),"")="?","Retraitement requis - voir table","OK"))),"Erreur"))</f>
        <v/>
      </c>
      <c r="L59" s="141" t="str">
        <f t="shared" ref="L59:L90" si="7">LEFT(TEXT(A59,"0"),4)</f>
        <v>0</v>
      </c>
      <c r="M59" t="str">
        <f t="shared" ref="M59:M90" si="8">IF(A59="","",TRIM(A59&amp;""))</f>
        <v/>
      </c>
      <c r="N59" s="135" t="str">
        <f t="shared" si="6"/>
        <v/>
      </c>
      <c r="O59" s="135" t="str">
        <f t="shared" si="6"/>
        <v/>
      </c>
      <c r="P59" s="135" t="str">
        <f t="shared" si="6"/>
        <v/>
      </c>
      <c r="Q59" s="135" t="str">
        <f t="shared" si="6"/>
        <v/>
      </c>
      <c r="R59" s="135" t="str">
        <f t="shared" si="6"/>
        <v/>
      </c>
      <c r="S59" s="135" t="str">
        <f t="shared" si="6"/>
        <v/>
      </c>
      <c r="T59" s="135" t="str">
        <f t="shared" si="6"/>
        <v/>
      </c>
      <c r="U59" s="135" t="str">
        <f t="shared" si="6"/>
        <v/>
      </c>
    </row>
    <row r="60" spans="1:21" ht="15" hidden="1" customHeight="1" x14ac:dyDescent="0.2">
      <c r="A60" s="165"/>
      <c r="B60" s="156"/>
      <c r="C60" s="157"/>
      <c r="D60" s="157"/>
      <c r="E60" s="131"/>
      <c r="F60" s="153" t="str">
        <f>IF(A60="","",IFERROR(INDEX(Table_Complete_CGNC_PCG!$E:$E,MATCH(L60,Table_Complete_CGNC_PCG!$I:$I,0)),"? Non mappe"))</f>
        <v/>
      </c>
      <c r="G60" s="149" t="str">
        <f>IF(A60="","",IFERROR(INDEX(Table_Complete_CGNC_PCG!$F:$F,MATCH(L60,Table_Complete_CGNC_PCG!$I:$I,0)),"Non trouve — ajouter dans la table"))</f>
        <v/>
      </c>
      <c r="H60" s="148" t="str">
        <f t="shared" si="0"/>
        <v/>
      </c>
      <c r="I60" s="148" t="str">
        <f t="shared" si="1"/>
        <v/>
      </c>
      <c r="J60" s="131"/>
      <c r="K60" s="143" t="str">
        <f>IF(A60="","",IFERROR(IF(F60="? Non mappe","Compte non trouve - mapper manuellement",IF(AND(ISNUMBER(SEARCH("516",L60)),D60&gt;0),"CAISSE CREDITRICE - anomalie a corriger",IF(IFERROR(INDEX(Table_Complete_CGNC_PCG!$D:$D,MATCH(L60,Table_Complete_CGNC_PCG!$I:$I,0)),"")="?","Retraitement requis - voir table","OK"))),"Erreur"))</f>
        <v/>
      </c>
      <c r="L60" s="141" t="str">
        <f t="shared" si="7"/>
        <v>0</v>
      </c>
      <c r="M60" t="str">
        <f t="shared" si="8"/>
        <v/>
      </c>
      <c r="N60" s="135" t="str">
        <f t="shared" si="6"/>
        <v/>
      </c>
      <c r="O60" s="135" t="str">
        <f t="shared" si="6"/>
        <v/>
      </c>
      <c r="P60" s="135" t="str">
        <f t="shared" si="6"/>
        <v/>
      </c>
      <c r="Q60" s="135" t="str">
        <f t="shared" si="6"/>
        <v/>
      </c>
      <c r="R60" s="135" t="str">
        <f t="shared" si="6"/>
        <v/>
      </c>
      <c r="S60" s="135" t="str">
        <f t="shared" si="6"/>
        <v/>
      </c>
      <c r="T60" s="135" t="str">
        <f t="shared" si="6"/>
        <v/>
      </c>
      <c r="U60" s="135" t="str">
        <f t="shared" si="6"/>
        <v/>
      </c>
    </row>
    <row r="61" spans="1:21" ht="15" hidden="1" customHeight="1" x14ac:dyDescent="0.2">
      <c r="A61" s="163"/>
      <c r="B61" s="154"/>
      <c r="C61" s="155"/>
      <c r="D61" s="155"/>
      <c r="E61" s="131"/>
      <c r="F61" s="146" t="str">
        <f>IF(A61="","",IFERROR(INDEX(Table_Complete_CGNC_PCG!$E:$E,MATCH(L61,Table_Complete_CGNC_PCG!$I:$I,0)),"? Non mappe"))</f>
        <v/>
      </c>
      <c r="G61" s="147" t="str">
        <f>IF(A61="","",IFERROR(INDEX(Table_Complete_CGNC_PCG!$F:$F,MATCH(L61,Table_Complete_CGNC_PCG!$I:$I,0)),"Non trouve — ajouter dans la table"))</f>
        <v/>
      </c>
      <c r="H61" s="148" t="str">
        <f t="shared" si="0"/>
        <v/>
      </c>
      <c r="I61" s="148" t="str">
        <f t="shared" si="1"/>
        <v/>
      </c>
      <c r="J61" s="131"/>
      <c r="K61" s="143" t="str">
        <f>IF(A61="","",IFERROR(IF(F61="? Non mappe","Compte non trouve - mapper manuellement",IF(AND(ISNUMBER(SEARCH("516",L61)),D61&gt;0),"CAISSE CREDITRICE - anomalie a corriger",IF(IFERROR(INDEX(Table_Complete_CGNC_PCG!$D:$D,MATCH(L61,Table_Complete_CGNC_PCG!$I:$I,0)),"")="?","Retraitement requis - voir table","OK"))),"Erreur"))</f>
        <v/>
      </c>
      <c r="L61" s="141" t="str">
        <f t="shared" si="7"/>
        <v>0</v>
      </c>
      <c r="M61" t="str">
        <f t="shared" si="8"/>
        <v/>
      </c>
      <c r="N61" s="135" t="str">
        <f t="shared" si="6"/>
        <v/>
      </c>
      <c r="O61" s="135" t="str">
        <f t="shared" si="6"/>
        <v/>
      </c>
      <c r="P61" s="135" t="str">
        <f t="shared" si="6"/>
        <v/>
      </c>
      <c r="Q61" s="135" t="str">
        <f t="shared" si="6"/>
        <v/>
      </c>
      <c r="R61" s="135" t="str">
        <f t="shared" si="6"/>
        <v/>
      </c>
      <c r="S61" s="135" t="str">
        <f t="shared" si="6"/>
        <v/>
      </c>
      <c r="T61" s="135" t="str">
        <f t="shared" si="6"/>
        <v/>
      </c>
      <c r="U61" s="135" t="str">
        <f t="shared" si="6"/>
        <v/>
      </c>
    </row>
    <row r="62" spans="1:21" ht="15" hidden="1" customHeight="1" x14ac:dyDescent="0.2">
      <c r="A62" s="165"/>
      <c r="B62" s="156"/>
      <c r="C62" s="157"/>
      <c r="D62" s="157"/>
      <c r="E62" s="131"/>
      <c r="F62" s="153" t="str">
        <f>IF(A62="","",IFERROR(INDEX(Table_Complete_CGNC_PCG!$E:$E,MATCH(L62,Table_Complete_CGNC_PCG!$I:$I,0)),"? Non mappe"))</f>
        <v/>
      </c>
      <c r="G62" s="149" t="str">
        <f>IF(A62="","",IFERROR(INDEX(Table_Complete_CGNC_PCG!$F:$F,MATCH(L62,Table_Complete_CGNC_PCG!$I:$I,0)),"Non trouve — ajouter dans la table"))</f>
        <v/>
      </c>
      <c r="H62" s="148" t="str">
        <f t="shared" si="0"/>
        <v/>
      </c>
      <c r="I62" s="148" t="str">
        <f t="shared" si="1"/>
        <v/>
      </c>
      <c r="J62" s="131"/>
      <c r="K62" s="143" t="str">
        <f>IF(A62="","",IFERROR(IF(F62="? Non mappe","Compte non trouve - mapper manuellement",IF(AND(ISNUMBER(SEARCH("516",L62)),D62&gt;0),"CAISSE CREDITRICE - anomalie a corriger",IF(IFERROR(INDEX(Table_Complete_CGNC_PCG!$D:$D,MATCH(L62,Table_Complete_CGNC_PCG!$I:$I,0)),"")="?","Retraitement requis - voir table","OK"))),"Erreur"))</f>
        <v/>
      </c>
      <c r="L62" s="141" t="str">
        <f t="shared" si="7"/>
        <v>0</v>
      </c>
      <c r="M62" t="str">
        <f t="shared" si="8"/>
        <v/>
      </c>
      <c r="N62" s="135" t="str">
        <f t="shared" si="6"/>
        <v/>
      </c>
      <c r="O62" s="135" t="str">
        <f t="shared" si="6"/>
        <v/>
      </c>
      <c r="P62" s="135" t="str">
        <f t="shared" si="6"/>
        <v/>
      </c>
      <c r="Q62" s="135" t="str">
        <f t="shared" si="6"/>
        <v/>
      </c>
      <c r="R62" s="135" t="str">
        <f t="shared" si="6"/>
        <v/>
      </c>
      <c r="S62" s="135" t="str">
        <f t="shared" si="6"/>
        <v/>
      </c>
      <c r="T62" s="135" t="str">
        <f t="shared" si="6"/>
        <v/>
      </c>
      <c r="U62" s="135" t="str">
        <f t="shared" si="6"/>
        <v/>
      </c>
    </row>
    <row r="63" spans="1:21" ht="15" hidden="1" customHeight="1" x14ac:dyDescent="0.2">
      <c r="A63" s="163"/>
      <c r="B63" s="154"/>
      <c r="C63" s="155"/>
      <c r="D63" s="155"/>
      <c r="E63" s="131"/>
      <c r="F63" s="146" t="str">
        <f>IF(A63="","",IFERROR(INDEX(Table_Complete_CGNC_PCG!$E:$E,MATCH(L63,Table_Complete_CGNC_PCG!$I:$I,0)),"? Non mappe"))</f>
        <v/>
      </c>
      <c r="G63" s="147" t="str">
        <f>IF(A63="","",IFERROR(INDEX(Table_Complete_CGNC_PCG!$F:$F,MATCH(L63,Table_Complete_CGNC_PCG!$I:$I,0)),"Non trouve — ajouter dans la table"))</f>
        <v/>
      </c>
      <c r="H63" s="148" t="str">
        <f t="shared" si="0"/>
        <v/>
      </c>
      <c r="I63" s="148" t="str">
        <f t="shared" si="1"/>
        <v/>
      </c>
      <c r="J63" s="131"/>
      <c r="K63" s="143" t="str">
        <f>IF(A63="","",IFERROR(IF(F63="? Non mappe","Compte non trouve - mapper manuellement",IF(AND(ISNUMBER(SEARCH("516",L63)),D63&gt;0),"CAISSE CREDITRICE - anomalie a corriger",IF(IFERROR(INDEX(Table_Complete_CGNC_PCG!$D:$D,MATCH(L63,Table_Complete_CGNC_PCG!$I:$I,0)),"")="?","Retraitement requis - voir table","OK"))),"Erreur"))</f>
        <v/>
      </c>
      <c r="L63" s="141" t="str">
        <f t="shared" si="7"/>
        <v>0</v>
      </c>
      <c r="M63" t="str">
        <f t="shared" si="8"/>
        <v/>
      </c>
      <c r="N63" s="135" t="str">
        <f t="shared" si="6"/>
        <v/>
      </c>
      <c r="O63" s="135" t="str">
        <f t="shared" si="6"/>
        <v/>
      </c>
      <c r="P63" s="135" t="str">
        <f t="shared" si="6"/>
        <v/>
      </c>
      <c r="Q63" s="135" t="str">
        <f t="shared" si="6"/>
        <v/>
      </c>
      <c r="R63" s="135" t="str">
        <f t="shared" si="6"/>
        <v/>
      </c>
      <c r="S63" s="135" t="str">
        <f t="shared" si="6"/>
        <v/>
      </c>
      <c r="T63" s="135" t="str">
        <f t="shared" si="6"/>
        <v/>
      </c>
      <c r="U63" s="135" t="str">
        <f t="shared" si="6"/>
        <v/>
      </c>
    </row>
    <row r="64" spans="1:21" ht="15" hidden="1" customHeight="1" x14ac:dyDescent="0.2">
      <c r="A64" s="165"/>
      <c r="B64" s="156"/>
      <c r="C64" s="157"/>
      <c r="D64" s="157"/>
      <c r="E64" s="131"/>
      <c r="F64" s="153" t="str">
        <f>IF(A64="","",IFERROR(INDEX(Table_Complete_CGNC_PCG!$E:$E,MATCH(L64,Table_Complete_CGNC_PCG!$I:$I,0)),"? Non mappe"))</f>
        <v/>
      </c>
      <c r="G64" s="149" t="str">
        <f>IF(A64="","",IFERROR(INDEX(Table_Complete_CGNC_PCG!$F:$F,MATCH(L64,Table_Complete_CGNC_PCG!$I:$I,0)),"Non trouve — ajouter dans la table"))</f>
        <v/>
      </c>
      <c r="H64" s="148" t="str">
        <f t="shared" si="0"/>
        <v/>
      </c>
      <c r="I64" s="148" t="str">
        <f t="shared" si="1"/>
        <v/>
      </c>
      <c r="J64" s="131"/>
      <c r="K64" s="143" t="str">
        <f>IF(A64="","",IFERROR(IF(F64="? Non mappe","Compte non trouve - mapper manuellement",IF(AND(ISNUMBER(SEARCH("516",L64)),D64&gt;0),"CAISSE CREDITRICE - anomalie a corriger",IF(IFERROR(INDEX(Table_Complete_CGNC_PCG!$D:$D,MATCH(L64,Table_Complete_CGNC_PCG!$I:$I,0)),"")="?","Retraitement requis - voir table","OK"))),"Erreur"))</f>
        <v/>
      </c>
      <c r="L64" s="141" t="str">
        <f t="shared" si="7"/>
        <v>0</v>
      </c>
      <c r="M64" t="str">
        <f t="shared" si="8"/>
        <v/>
      </c>
      <c r="N64" s="135" t="str">
        <f t="shared" si="6"/>
        <v/>
      </c>
      <c r="O64" s="135" t="str">
        <f t="shared" si="6"/>
        <v/>
      </c>
      <c r="P64" s="135" t="str">
        <f t="shared" si="6"/>
        <v/>
      </c>
      <c r="Q64" s="135" t="str">
        <f t="shared" si="6"/>
        <v/>
      </c>
      <c r="R64" s="135" t="str">
        <f t="shared" si="6"/>
        <v/>
      </c>
      <c r="S64" s="135" t="str">
        <f t="shared" si="6"/>
        <v/>
      </c>
      <c r="T64" s="135" t="str">
        <f t="shared" si="6"/>
        <v/>
      </c>
      <c r="U64" s="135" t="str">
        <f t="shared" si="6"/>
        <v/>
      </c>
    </row>
    <row r="65" spans="1:21" ht="15" hidden="1" customHeight="1" x14ac:dyDescent="0.2">
      <c r="A65" s="163"/>
      <c r="B65" s="154"/>
      <c r="C65" s="155"/>
      <c r="D65" s="155"/>
      <c r="E65" s="131"/>
      <c r="F65" s="146" t="str">
        <f>IF(A65="","",IFERROR(INDEX(Table_Complete_CGNC_PCG!$E:$E,MATCH(L65,Table_Complete_CGNC_PCG!$I:$I,0)),"? Non mappe"))</f>
        <v/>
      </c>
      <c r="G65" s="147" t="str">
        <f>IF(A65="","",IFERROR(INDEX(Table_Complete_CGNC_PCG!$F:$F,MATCH(L65,Table_Complete_CGNC_PCG!$I:$I,0)),"Non trouve — ajouter dans la table"))</f>
        <v/>
      </c>
      <c r="H65" s="148" t="str">
        <f t="shared" si="0"/>
        <v/>
      </c>
      <c r="I65" s="148" t="str">
        <f t="shared" si="1"/>
        <v/>
      </c>
      <c r="J65" s="131"/>
      <c r="K65" s="143" t="str">
        <f>IF(A65="","",IFERROR(IF(F65="? Non mappe","Compte non trouve - mapper manuellement",IF(AND(ISNUMBER(SEARCH("516",L65)),D65&gt;0),"CAISSE CREDITRICE - anomalie a corriger",IF(IFERROR(INDEX(Table_Complete_CGNC_PCG!$D:$D,MATCH(L65,Table_Complete_CGNC_PCG!$I:$I,0)),"")="?","Retraitement requis - voir table","OK"))),"Erreur"))</f>
        <v/>
      </c>
      <c r="L65" s="141" t="str">
        <f t="shared" si="7"/>
        <v>0</v>
      </c>
      <c r="M65" t="str">
        <f t="shared" si="8"/>
        <v/>
      </c>
      <c r="N65" s="135" t="str">
        <f t="shared" si="6"/>
        <v/>
      </c>
      <c r="O65" s="135" t="str">
        <f t="shared" si="6"/>
        <v/>
      </c>
      <c r="P65" s="135" t="str">
        <f t="shared" si="6"/>
        <v/>
      </c>
      <c r="Q65" s="135" t="str">
        <f t="shared" si="6"/>
        <v/>
      </c>
      <c r="R65" s="135" t="str">
        <f t="shared" si="6"/>
        <v/>
      </c>
      <c r="S65" s="135" t="str">
        <f t="shared" si="6"/>
        <v/>
      </c>
      <c r="T65" s="135" t="str">
        <f t="shared" si="6"/>
        <v/>
      </c>
      <c r="U65" s="135" t="str">
        <f t="shared" si="6"/>
        <v/>
      </c>
    </row>
    <row r="66" spans="1:21" ht="15" hidden="1" customHeight="1" x14ac:dyDescent="0.2">
      <c r="A66" s="165"/>
      <c r="B66" s="156"/>
      <c r="C66" s="157"/>
      <c r="D66" s="157"/>
      <c r="E66" s="131"/>
      <c r="F66" s="153" t="str">
        <f>IF(A66="","",IFERROR(INDEX(Table_Complete_CGNC_PCG!$E:$E,MATCH(L66,Table_Complete_CGNC_PCG!$I:$I,0)),"? Non mappe"))</f>
        <v/>
      </c>
      <c r="G66" s="149" t="str">
        <f>IF(A66="","",IFERROR(INDEX(Table_Complete_CGNC_PCG!$F:$F,MATCH(L66,Table_Complete_CGNC_PCG!$I:$I,0)),"Non trouve — ajouter dans la table"))</f>
        <v/>
      </c>
      <c r="H66" s="148" t="str">
        <f t="shared" si="0"/>
        <v/>
      </c>
      <c r="I66" s="148" t="str">
        <f t="shared" si="1"/>
        <v/>
      </c>
      <c r="J66" s="131"/>
      <c r="K66" s="143" t="str">
        <f>IF(A66="","",IFERROR(IF(F66="? Non mappe","Compte non trouve - mapper manuellement",IF(AND(ISNUMBER(SEARCH("516",L66)),D66&gt;0),"CAISSE CREDITRICE - anomalie a corriger",IF(IFERROR(INDEX(Table_Complete_CGNC_PCG!$D:$D,MATCH(L66,Table_Complete_CGNC_PCG!$I:$I,0)),"")="?","Retraitement requis - voir table","OK"))),"Erreur"))</f>
        <v/>
      </c>
      <c r="L66" s="141" t="str">
        <f t="shared" si="7"/>
        <v>0</v>
      </c>
      <c r="M66" t="str">
        <f t="shared" si="8"/>
        <v/>
      </c>
      <c r="N66" s="135" t="str">
        <f t="shared" si="6"/>
        <v/>
      </c>
      <c r="O66" s="135" t="str">
        <f t="shared" si="6"/>
        <v/>
      </c>
      <c r="P66" s="135" t="str">
        <f t="shared" si="6"/>
        <v/>
      </c>
      <c r="Q66" s="135" t="str">
        <f t="shared" si="6"/>
        <v/>
      </c>
      <c r="R66" s="135" t="str">
        <f t="shared" si="6"/>
        <v/>
      </c>
      <c r="S66" s="135" t="str">
        <f t="shared" si="6"/>
        <v/>
      </c>
      <c r="T66" s="135" t="str">
        <f t="shared" si="6"/>
        <v/>
      </c>
      <c r="U66" s="135" t="str">
        <f t="shared" si="6"/>
        <v/>
      </c>
    </row>
    <row r="67" spans="1:21" ht="15" hidden="1" customHeight="1" x14ac:dyDescent="0.2">
      <c r="A67" s="163"/>
      <c r="B67" s="154"/>
      <c r="C67" s="155"/>
      <c r="D67" s="155"/>
      <c r="E67" s="131"/>
      <c r="F67" s="146" t="str">
        <f>IF(A67="","",IFERROR(INDEX(Table_Complete_CGNC_PCG!$E:$E,MATCH(L67,Table_Complete_CGNC_PCG!$I:$I,0)),"? Non mappe"))</f>
        <v/>
      </c>
      <c r="G67" s="147" t="str">
        <f>IF(A67="","",IFERROR(INDEX(Table_Complete_CGNC_PCG!$F:$F,MATCH(L67,Table_Complete_CGNC_PCG!$I:$I,0)),"Non trouve — ajouter dans la table"))</f>
        <v/>
      </c>
      <c r="H67" s="148" t="str">
        <f t="shared" si="0"/>
        <v/>
      </c>
      <c r="I67" s="148" t="str">
        <f t="shared" si="1"/>
        <v/>
      </c>
      <c r="J67" s="131"/>
      <c r="K67" s="143" t="str">
        <f>IF(A67="","",IFERROR(IF(F67="? Non mappe","Compte non trouve - mapper manuellement",IF(AND(ISNUMBER(SEARCH("516",L67)),D67&gt;0),"CAISSE CREDITRICE - anomalie a corriger",IF(IFERROR(INDEX(Table_Complete_CGNC_PCG!$D:$D,MATCH(L67,Table_Complete_CGNC_PCG!$I:$I,0)),"")="?","Retraitement requis - voir table","OK"))),"Erreur"))</f>
        <v/>
      </c>
      <c r="L67" s="141" t="str">
        <f t="shared" si="7"/>
        <v>0</v>
      </c>
      <c r="M67" t="str">
        <f t="shared" si="8"/>
        <v/>
      </c>
      <c r="N67" s="135" t="str">
        <f t="shared" si="6"/>
        <v/>
      </c>
      <c r="O67" s="135" t="str">
        <f t="shared" si="6"/>
        <v/>
      </c>
      <c r="P67" s="135" t="str">
        <f t="shared" si="6"/>
        <v/>
      </c>
      <c r="Q67" s="135" t="str">
        <f t="shared" si="6"/>
        <v/>
      </c>
      <c r="R67" s="135" t="str">
        <f t="shared" si="6"/>
        <v/>
      </c>
      <c r="S67" s="135" t="str">
        <f t="shared" si="6"/>
        <v/>
      </c>
      <c r="T67" s="135" t="str">
        <f t="shared" si="6"/>
        <v/>
      </c>
      <c r="U67" s="135" t="str">
        <f t="shared" si="6"/>
        <v/>
      </c>
    </row>
    <row r="68" spans="1:21" ht="15" hidden="1" customHeight="1" x14ac:dyDescent="0.2">
      <c r="A68" s="165"/>
      <c r="B68" s="156"/>
      <c r="C68" s="157"/>
      <c r="D68" s="157"/>
      <c r="E68" s="131"/>
      <c r="F68" s="153" t="str">
        <f>IF(A68="","",IFERROR(INDEX(Table_Complete_CGNC_PCG!$E:$E,MATCH(L68,Table_Complete_CGNC_PCG!$I:$I,0)),"? Non mappe"))</f>
        <v/>
      </c>
      <c r="G68" s="149" t="str">
        <f>IF(A68="","",IFERROR(INDEX(Table_Complete_CGNC_PCG!$F:$F,MATCH(L68,Table_Complete_CGNC_PCG!$I:$I,0)),"Non trouve — ajouter dans la table"))</f>
        <v/>
      </c>
      <c r="H68" s="148" t="str">
        <f t="shared" si="0"/>
        <v/>
      </c>
      <c r="I68" s="148" t="str">
        <f t="shared" si="1"/>
        <v/>
      </c>
      <c r="J68" s="131"/>
      <c r="K68" s="143" t="str">
        <f>IF(A68="","",IFERROR(IF(F68="? Non mappe","Compte non trouve - mapper manuellement",IF(AND(ISNUMBER(SEARCH("516",L68)),D68&gt;0),"CAISSE CREDITRICE - anomalie a corriger",IF(IFERROR(INDEX(Table_Complete_CGNC_PCG!$D:$D,MATCH(L68,Table_Complete_CGNC_PCG!$I:$I,0)),"")="?","Retraitement requis - voir table","OK"))),"Erreur"))</f>
        <v/>
      </c>
      <c r="L68" s="141" t="str">
        <f t="shared" si="7"/>
        <v>0</v>
      </c>
      <c r="M68" t="str">
        <f t="shared" si="8"/>
        <v/>
      </c>
      <c r="N68" s="135" t="str">
        <f t="shared" ref="N68:U83" si="9">IF(M68="","",IF(AND(LEN(M68)&gt;3,RIGHT(M68,1)="0"),LEFT(M68,LEN(M68)-1),M68))</f>
        <v/>
      </c>
      <c r="O68" s="135" t="str">
        <f t="shared" si="9"/>
        <v/>
      </c>
      <c r="P68" s="135" t="str">
        <f t="shared" si="9"/>
        <v/>
      </c>
      <c r="Q68" s="135" t="str">
        <f t="shared" si="9"/>
        <v/>
      </c>
      <c r="R68" s="135" t="str">
        <f t="shared" si="9"/>
        <v/>
      </c>
      <c r="S68" s="135" t="str">
        <f t="shared" si="9"/>
        <v/>
      </c>
      <c r="T68" s="135" t="str">
        <f t="shared" si="9"/>
        <v/>
      </c>
      <c r="U68" s="135" t="str">
        <f t="shared" si="9"/>
        <v/>
      </c>
    </row>
    <row r="69" spans="1:21" ht="15" hidden="1" customHeight="1" x14ac:dyDescent="0.2">
      <c r="A69" s="163"/>
      <c r="B69" s="154"/>
      <c r="C69" s="155"/>
      <c r="D69" s="155"/>
      <c r="E69" s="131"/>
      <c r="F69" s="146" t="str">
        <f>IF(A69="","",IFERROR(INDEX(Table_Complete_CGNC_PCG!$E:$E,MATCH(L69,Table_Complete_CGNC_PCG!$I:$I,0)),"? Non mappe"))</f>
        <v/>
      </c>
      <c r="G69" s="147" t="str">
        <f>IF(A69="","",IFERROR(INDEX(Table_Complete_CGNC_PCG!$F:$F,MATCH(L69,Table_Complete_CGNC_PCG!$I:$I,0)),"Non trouve — ajouter dans la table"))</f>
        <v/>
      </c>
      <c r="H69" s="148" t="str">
        <f t="shared" si="0"/>
        <v/>
      </c>
      <c r="I69" s="148" t="str">
        <f t="shared" si="1"/>
        <v/>
      </c>
      <c r="J69" s="131"/>
      <c r="K69" s="143" t="str">
        <f>IF(A69="","",IFERROR(IF(F69="? Non mappe","Compte non trouve - mapper manuellement",IF(AND(ISNUMBER(SEARCH("516",L69)),D69&gt;0),"CAISSE CREDITRICE - anomalie a corriger",IF(IFERROR(INDEX(Table_Complete_CGNC_PCG!$D:$D,MATCH(L69,Table_Complete_CGNC_PCG!$I:$I,0)),"")="?","Retraitement requis - voir table","OK"))),"Erreur"))</f>
        <v/>
      </c>
      <c r="L69" s="141" t="str">
        <f t="shared" si="7"/>
        <v>0</v>
      </c>
      <c r="M69" t="str">
        <f t="shared" si="8"/>
        <v/>
      </c>
      <c r="N69" s="135" t="str">
        <f t="shared" si="9"/>
        <v/>
      </c>
      <c r="O69" s="135" t="str">
        <f t="shared" si="9"/>
        <v/>
      </c>
      <c r="P69" s="135" t="str">
        <f t="shared" si="9"/>
        <v/>
      </c>
      <c r="Q69" s="135" t="str">
        <f t="shared" si="9"/>
        <v/>
      </c>
      <c r="R69" s="135" t="str">
        <f t="shared" si="9"/>
        <v/>
      </c>
      <c r="S69" s="135" t="str">
        <f t="shared" si="9"/>
        <v/>
      </c>
      <c r="T69" s="135" t="str">
        <f t="shared" si="9"/>
        <v/>
      </c>
      <c r="U69" s="135" t="str">
        <f t="shared" si="9"/>
        <v/>
      </c>
    </row>
    <row r="70" spans="1:21" ht="15" hidden="1" customHeight="1" x14ac:dyDescent="0.2">
      <c r="A70" s="165"/>
      <c r="B70" s="156"/>
      <c r="C70" s="157"/>
      <c r="D70" s="157"/>
      <c r="E70" s="131"/>
      <c r="F70" s="153" t="str">
        <f>IF(A70="","",IFERROR(INDEX(Table_Complete_CGNC_PCG!$E:$E,MATCH(L70,Table_Complete_CGNC_PCG!$I:$I,0)),"? Non mappe"))</f>
        <v/>
      </c>
      <c r="G70" s="149" t="str">
        <f>IF(A70="","",IFERROR(INDEX(Table_Complete_CGNC_PCG!$F:$F,MATCH(L70,Table_Complete_CGNC_PCG!$I:$I,0)),"Non trouve — ajouter dans la table"))</f>
        <v/>
      </c>
      <c r="H70" s="148" t="str">
        <f t="shared" ref="H70:H133" si="10">IF(OR(A70="",C70="",C70=0),"",ROUND(C70/$C$2,2))</f>
        <v/>
      </c>
      <c r="I70" s="148" t="str">
        <f t="shared" ref="I70:I133" si="11">IF(OR(A70="",D70="",D70=0),"",ROUND(D70/$C$2,2))</f>
        <v/>
      </c>
      <c r="J70" s="131"/>
      <c r="K70" s="143" t="str">
        <f>IF(A70="","",IFERROR(IF(F70="? Non mappe","Compte non trouve - mapper manuellement",IF(AND(ISNUMBER(SEARCH("516",L70)),D70&gt;0),"CAISSE CREDITRICE - anomalie a corriger",IF(IFERROR(INDEX(Table_Complete_CGNC_PCG!$D:$D,MATCH(L70,Table_Complete_CGNC_PCG!$I:$I,0)),"")="?","Retraitement requis - voir table","OK"))),"Erreur"))</f>
        <v/>
      </c>
      <c r="L70" s="141" t="str">
        <f t="shared" si="7"/>
        <v>0</v>
      </c>
      <c r="M70" t="str">
        <f t="shared" si="8"/>
        <v/>
      </c>
      <c r="N70" s="135" t="str">
        <f t="shared" si="9"/>
        <v/>
      </c>
      <c r="O70" s="135" t="str">
        <f t="shared" si="9"/>
        <v/>
      </c>
      <c r="P70" s="135" t="str">
        <f t="shared" si="9"/>
        <v/>
      </c>
      <c r="Q70" s="135" t="str">
        <f t="shared" si="9"/>
        <v/>
      </c>
      <c r="R70" s="135" t="str">
        <f t="shared" si="9"/>
        <v/>
      </c>
      <c r="S70" s="135" t="str">
        <f t="shared" si="9"/>
        <v/>
      </c>
      <c r="T70" s="135" t="str">
        <f t="shared" si="9"/>
        <v/>
      </c>
      <c r="U70" s="135" t="str">
        <f t="shared" si="9"/>
        <v/>
      </c>
    </row>
    <row r="71" spans="1:21" ht="15" hidden="1" customHeight="1" x14ac:dyDescent="0.2">
      <c r="A71" s="163"/>
      <c r="B71" s="154"/>
      <c r="C71" s="155"/>
      <c r="D71" s="155"/>
      <c r="E71" s="131"/>
      <c r="F71" s="146" t="str">
        <f>IF(A71="","",IFERROR(INDEX(Table_Complete_CGNC_PCG!$E:$E,MATCH(L71,Table_Complete_CGNC_PCG!$I:$I,0)),"? Non mappe"))</f>
        <v/>
      </c>
      <c r="G71" s="147" t="str">
        <f>IF(A71="","",IFERROR(INDEX(Table_Complete_CGNC_PCG!$F:$F,MATCH(L71,Table_Complete_CGNC_PCG!$I:$I,0)),"Non trouve — ajouter dans la table"))</f>
        <v/>
      </c>
      <c r="H71" s="148" t="str">
        <f t="shared" si="10"/>
        <v/>
      </c>
      <c r="I71" s="148" t="str">
        <f t="shared" si="11"/>
        <v/>
      </c>
      <c r="J71" s="131"/>
      <c r="K71" s="143" t="str">
        <f>IF(A71="","",IFERROR(IF(F71="? Non mappe","Compte non trouve - mapper manuellement",IF(AND(ISNUMBER(SEARCH("516",L71)),D71&gt;0),"CAISSE CREDITRICE - anomalie a corriger",IF(IFERROR(INDEX(Table_Complete_CGNC_PCG!$D:$D,MATCH(L71,Table_Complete_CGNC_PCG!$I:$I,0)),"")="?","Retraitement requis - voir table","OK"))),"Erreur"))</f>
        <v/>
      </c>
      <c r="L71" s="141" t="str">
        <f t="shared" si="7"/>
        <v>0</v>
      </c>
      <c r="M71" t="str">
        <f t="shared" si="8"/>
        <v/>
      </c>
      <c r="N71" s="135" t="str">
        <f t="shared" si="9"/>
        <v/>
      </c>
      <c r="O71" s="135" t="str">
        <f t="shared" si="9"/>
        <v/>
      </c>
      <c r="P71" s="135" t="str">
        <f t="shared" si="9"/>
        <v/>
      </c>
      <c r="Q71" s="135" t="str">
        <f t="shared" si="9"/>
        <v/>
      </c>
      <c r="R71" s="135" t="str">
        <f t="shared" si="9"/>
        <v/>
      </c>
      <c r="S71" s="135" t="str">
        <f t="shared" si="9"/>
        <v/>
      </c>
      <c r="T71" s="135" t="str">
        <f t="shared" si="9"/>
        <v/>
      </c>
      <c r="U71" s="135" t="str">
        <f t="shared" si="9"/>
        <v/>
      </c>
    </row>
    <row r="72" spans="1:21" ht="15" hidden="1" customHeight="1" x14ac:dyDescent="0.2">
      <c r="A72" s="165"/>
      <c r="B72" s="156"/>
      <c r="C72" s="157"/>
      <c r="D72" s="157"/>
      <c r="E72" s="131"/>
      <c r="F72" s="153" t="str">
        <f>IF(A72="","",IFERROR(INDEX(Table_Complete_CGNC_PCG!$E:$E,MATCH(L72,Table_Complete_CGNC_PCG!$I:$I,0)),"? Non mappe"))</f>
        <v/>
      </c>
      <c r="G72" s="149" t="str">
        <f>IF(A72="","",IFERROR(INDEX(Table_Complete_CGNC_PCG!$F:$F,MATCH(L72,Table_Complete_CGNC_PCG!$I:$I,0)),"Non trouve — ajouter dans la table"))</f>
        <v/>
      </c>
      <c r="H72" s="148" t="str">
        <f t="shared" si="10"/>
        <v/>
      </c>
      <c r="I72" s="148" t="str">
        <f t="shared" si="11"/>
        <v/>
      </c>
      <c r="J72" s="131"/>
      <c r="K72" s="143" t="str">
        <f>IF(A72="","",IFERROR(IF(F72="? Non mappe","Compte non trouve - mapper manuellement",IF(AND(ISNUMBER(SEARCH("516",L72)),D72&gt;0),"CAISSE CREDITRICE - anomalie a corriger",IF(IFERROR(INDEX(Table_Complete_CGNC_PCG!$D:$D,MATCH(L72,Table_Complete_CGNC_PCG!$I:$I,0)),"")="?","Retraitement requis - voir table","OK"))),"Erreur"))</f>
        <v/>
      </c>
      <c r="L72" s="141" t="str">
        <f t="shared" si="7"/>
        <v>0</v>
      </c>
      <c r="M72" t="str">
        <f t="shared" si="8"/>
        <v/>
      </c>
      <c r="N72" s="135" t="str">
        <f t="shared" si="9"/>
        <v/>
      </c>
      <c r="O72" s="135" t="str">
        <f t="shared" si="9"/>
        <v/>
      </c>
      <c r="P72" s="135" t="str">
        <f t="shared" si="9"/>
        <v/>
      </c>
      <c r="Q72" s="135" t="str">
        <f t="shared" si="9"/>
        <v/>
      </c>
      <c r="R72" s="135" t="str">
        <f t="shared" si="9"/>
        <v/>
      </c>
      <c r="S72" s="135" t="str">
        <f t="shared" si="9"/>
        <v/>
      </c>
      <c r="T72" s="135" t="str">
        <f t="shared" si="9"/>
        <v/>
      </c>
      <c r="U72" s="135" t="str">
        <f t="shared" si="9"/>
        <v/>
      </c>
    </row>
    <row r="73" spans="1:21" ht="15" hidden="1" customHeight="1" x14ac:dyDescent="0.2">
      <c r="A73" s="163"/>
      <c r="B73" s="154"/>
      <c r="C73" s="155"/>
      <c r="D73" s="155"/>
      <c r="E73" s="131"/>
      <c r="F73" s="146" t="str">
        <f>IF(A73="","",IFERROR(INDEX(Table_Complete_CGNC_PCG!$E:$E,MATCH(L73,Table_Complete_CGNC_PCG!$I:$I,0)),"? Non mappe"))</f>
        <v/>
      </c>
      <c r="G73" s="147" t="str">
        <f>IF(A73="","",IFERROR(INDEX(Table_Complete_CGNC_PCG!$F:$F,MATCH(L73,Table_Complete_CGNC_PCG!$I:$I,0)),"Non trouve — ajouter dans la table"))</f>
        <v/>
      </c>
      <c r="H73" s="148" t="str">
        <f t="shared" si="10"/>
        <v/>
      </c>
      <c r="I73" s="148" t="str">
        <f t="shared" si="11"/>
        <v/>
      </c>
      <c r="J73" s="131"/>
      <c r="K73" s="143" t="str">
        <f>IF(A73="","",IFERROR(IF(F73="? Non mappe","Compte non trouve - mapper manuellement",IF(AND(ISNUMBER(SEARCH("516",L73)),D73&gt;0),"CAISSE CREDITRICE - anomalie a corriger",IF(IFERROR(INDEX(Table_Complete_CGNC_PCG!$D:$D,MATCH(L73,Table_Complete_CGNC_PCG!$I:$I,0)),"")="?","Retraitement requis - voir table","OK"))),"Erreur"))</f>
        <v/>
      </c>
      <c r="L73" s="141" t="str">
        <f t="shared" si="7"/>
        <v>0</v>
      </c>
      <c r="M73" t="str">
        <f t="shared" si="8"/>
        <v/>
      </c>
      <c r="N73" s="135" t="str">
        <f t="shared" si="9"/>
        <v/>
      </c>
      <c r="O73" s="135" t="str">
        <f t="shared" si="9"/>
        <v/>
      </c>
      <c r="P73" s="135" t="str">
        <f t="shared" si="9"/>
        <v/>
      </c>
      <c r="Q73" s="135" t="str">
        <f t="shared" si="9"/>
        <v/>
      </c>
      <c r="R73" s="135" t="str">
        <f t="shared" si="9"/>
        <v/>
      </c>
      <c r="S73" s="135" t="str">
        <f t="shared" si="9"/>
        <v/>
      </c>
      <c r="T73" s="135" t="str">
        <f t="shared" si="9"/>
        <v/>
      </c>
      <c r="U73" s="135" t="str">
        <f t="shared" si="9"/>
        <v/>
      </c>
    </row>
    <row r="74" spans="1:21" ht="15" hidden="1" customHeight="1" x14ac:dyDescent="0.2">
      <c r="A74" s="165"/>
      <c r="B74" s="156"/>
      <c r="C74" s="157"/>
      <c r="D74" s="157"/>
      <c r="E74" s="131"/>
      <c r="F74" s="153" t="str">
        <f>IF(A74="","",IFERROR(INDEX(Table_Complete_CGNC_PCG!$E:$E,MATCH(L74,Table_Complete_CGNC_PCG!$I:$I,0)),"? Non mappe"))</f>
        <v/>
      </c>
      <c r="G74" s="149" t="str">
        <f>IF(A74="","",IFERROR(INDEX(Table_Complete_CGNC_PCG!$F:$F,MATCH(L74,Table_Complete_CGNC_PCG!$I:$I,0)),"Non trouve — ajouter dans la table"))</f>
        <v/>
      </c>
      <c r="H74" s="148" t="str">
        <f t="shared" si="10"/>
        <v/>
      </c>
      <c r="I74" s="148" t="str">
        <f t="shared" si="11"/>
        <v/>
      </c>
      <c r="J74" s="131"/>
      <c r="K74" s="143" t="str">
        <f>IF(A74="","",IFERROR(IF(F74="? Non mappe","Compte non trouve - mapper manuellement",IF(AND(ISNUMBER(SEARCH("516",L74)),D74&gt;0),"CAISSE CREDITRICE - anomalie a corriger",IF(IFERROR(INDEX(Table_Complete_CGNC_PCG!$D:$D,MATCH(L74,Table_Complete_CGNC_PCG!$I:$I,0)),"")="?","Retraitement requis - voir table","OK"))),"Erreur"))</f>
        <v/>
      </c>
      <c r="L74" s="141" t="str">
        <f t="shared" si="7"/>
        <v>0</v>
      </c>
      <c r="M74" t="str">
        <f t="shared" si="8"/>
        <v/>
      </c>
      <c r="N74" s="135" t="str">
        <f t="shared" si="9"/>
        <v/>
      </c>
      <c r="O74" s="135" t="str">
        <f t="shared" si="9"/>
        <v/>
      </c>
      <c r="P74" s="135" t="str">
        <f t="shared" si="9"/>
        <v/>
      </c>
      <c r="Q74" s="135" t="str">
        <f t="shared" si="9"/>
        <v/>
      </c>
      <c r="R74" s="135" t="str">
        <f t="shared" si="9"/>
        <v/>
      </c>
      <c r="S74" s="135" t="str">
        <f t="shared" si="9"/>
        <v/>
      </c>
      <c r="T74" s="135" t="str">
        <f t="shared" si="9"/>
        <v/>
      </c>
      <c r="U74" s="135" t="str">
        <f t="shared" si="9"/>
        <v/>
      </c>
    </row>
    <row r="75" spans="1:21" ht="15" hidden="1" customHeight="1" x14ac:dyDescent="0.2">
      <c r="A75" s="163"/>
      <c r="B75" s="154"/>
      <c r="C75" s="155"/>
      <c r="D75" s="155"/>
      <c r="E75" s="131"/>
      <c r="F75" s="146" t="str">
        <f>IF(A75="","",IFERROR(INDEX(Table_Complete_CGNC_PCG!$E:$E,MATCH(L75,Table_Complete_CGNC_PCG!$I:$I,0)),"? Non mappe"))</f>
        <v/>
      </c>
      <c r="G75" s="147" t="str">
        <f>IF(A75="","",IFERROR(INDEX(Table_Complete_CGNC_PCG!$F:$F,MATCH(L75,Table_Complete_CGNC_PCG!$I:$I,0)),"Non trouve — ajouter dans la table"))</f>
        <v/>
      </c>
      <c r="H75" s="148" t="str">
        <f t="shared" si="10"/>
        <v/>
      </c>
      <c r="I75" s="148" t="str">
        <f t="shared" si="11"/>
        <v/>
      </c>
      <c r="J75" s="131"/>
      <c r="K75" s="143" t="str">
        <f>IF(A75="","",IFERROR(IF(F75="? Non mappe","Compte non trouve - mapper manuellement",IF(AND(ISNUMBER(SEARCH("516",L75)),D75&gt;0),"CAISSE CREDITRICE - anomalie a corriger",IF(IFERROR(INDEX(Table_Complete_CGNC_PCG!$D:$D,MATCH(L75,Table_Complete_CGNC_PCG!$I:$I,0)),"")="?","Retraitement requis - voir table","OK"))),"Erreur"))</f>
        <v/>
      </c>
      <c r="L75" s="141" t="str">
        <f t="shared" si="7"/>
        <v>0</v>
      </c>
      <c r="M75" t="str">
        <f t="shared" si="8"/>
        <v/>
      </c>
      <c r="N75" s="135" t="str">
        <f t="shared" si="9"/>
        <v/>
      </c>
      <c r="O75" s="135" t="str">
        <f t="shared" si="9"/>
        <v/>
      </c>
      <c r="P75" s="135" t="str">
        <f t="shared" si="9"/>
        <v/>
      </c>
      <c r="Q75" s="135" t="str">
        <f t="shared" si="9"/>
        <v/>
      </c>
      <c r="R75" s="135" t="str">
        <f t="shared" si="9"/>
        <v/>
      </c>
      <c r="S75" s="135" t="str">
        <f t="shared" si="9"/>
        <v/>
      </c>
      <c r="T75" s="135" t="str">
        <f t="shared" si="9"/>
        <v/>
      </c>
      <c r="U75" s="135" t="str">
        <f t="shared" si="9"/>
        <v/>
      </c>
    </row>
    <row r="76" spans="1:21" ht="15" hidden="1" customHeight="1" x14ac:dyDescent="0.2">
      <c r="A76" s="165"/>
      <c r="B76" s="156"/>
      <c r="C76" s="157"/>
      <c r="D76" s="157"/>
      <c r="E76" s="131"/>
      <c r="F76" s="153" t="str">
        <f>IF(A76="","",IFERROR(INDEX(Table_Complete_CGNC_PCG!$E:$E,MATCH(L76,Table_Complete_CGNC_PCG!$I:$I,0)),"? Non mappe"))</f>
        <v/>
      </c>
      <c r="G76" s="149" t="str">
        <f>IF(A76="","",IFERROR(INDEX(Table_Complete_CGNC_PCG!$F:$F,MATCH(L76,Table_Complete_CGNC_PCG!$I:$I,0)),"Non trouve — ajouter dans la table"))</f>
        <v/>
      </c>
      <c r="H76" s="148" t="str">
        <f t="shared" si="10"/>
        <v/>
      </c>
      <c r="I76" s="148" t="str">
        <f t="shared" si="11"/>
        <v/>
      </c>
      <c r="J76" s="131"/>
      <c r="K76" s="143" t="str">
        <f>IF(A76="","",IFERROR(IF(F76="? Non mappe","Compte non trouve - mapper manuellement",IF(AND(ISNUMBER(SEARCH("516",L76)),D76&gt;0),"CAISSE CREDITRICE - anomalie a corriger",IF(IFERROR(INDEX(Table_Complete_CGNC_PCG!$D:$D,MATCH(L76,Table_Complete_CGNC_PCG!$I:$I,0)),"")="?","Retraitement requis - voir table","OK"))),"Erreur"))</f>
        <v/>
      </c>
      <c r="L76" s="141" t="str">
        <f t="shared" si="7"/>
        <v>0</v>
      </c>
      <c r="M76" t="str">
        <f t="shared" si="8"/>
        <v/>
      </c>
      <c r="N76" s="135" t="str">
        <f t="shared" si="9"/>
        <v/>
      </c>
      <c r="O76" s="135" t="str">
        <f t="shared" si="9"/>
        <v/>
      </c>
      <c r="P76" s="135" t="str">
        <f t="shared" si="9"/>
        <v/>
      </c>
      <c r="Q76" s="135" t="str">
        <f t="shared" si="9"/>
        <v/>
      </c>
      <c r="R76" s="135" t="str">
        <f t="shared" si="9"/>
        <v/>
      </c>
      <c r="S76" s="135" t="str">
        <f t="shared" si="9"/>
        <v/>
      </c>
      <c r="T76" s="135" t="str">
        <f t="shared" si="9"/>
        <v/>
      </c>
      <c r="U76" s="135" t="str">
        <f t="shared" si="9"/>
        <v/>
      </c>
    </row>
    <row r="77" spans="1:21" ht="15" hidden="1" customHeight="1" x14ac:dyDescent="0.2">
      <c r="A77" s="163"/>
      <c r="B77" s="154"/>
      <c r="C77" s="155"/>
      <c r="D77" s="155"/>
      <c r="E77" s="131"/>
      <c r="F77" s="146" t="str">
        <f>IF(A77="","",IFERROR(INDEX(Table_Complete_CGNC_PCG!$E:$E,MATCH(L77,Table_Complete_CGNC_PCG!$I:$I,0)),"? Non mappe"))</f>
        <v/>
      </c>
      <c r="G77" s="147" t="str">
        <f>IF(A77="","",IFERROR(INDEX(Table_Complete_CGNC_PCG!$F:$F,MATCH(L77,Table_Complete_CGNC_PCG!$I:$I,0)),"Non trouve — ajouter dans la table"))</f>
        <v/>
      </c>
      <c r="H77" s="148" t="str">
        <f t="shared" si="10"/>
        <v/>
      </c>
      <c r="I77" s="148" t="str">
        <f t="shared" si="11"/>
        <v/>
      </c>
      <c r="J77" s="131"/>
      <c r="K77" s="143" t="str">
        <f>IF(A77="","",IFERROR(IF(F77="? Non mappe","Compte non trouve - mapper manuellement",IF(AND(ISNUMBER(SEARCH("516",L77)),D77&gt;0),"CAISSE CREDITRICE - anomalie a corriger",IF(IFERROR(INDEX(Table_Complete_CGNC_PCG!$D:$D,MATCH(L77,Table_Complete_CGNC_PCG!$I:$I,0)),"")="?","Retraitement requis - voir table","OK"))),"Erreur"))</f>
        <v/>
      </c>
      <c r="L77" s="141" t="str">
        <f t="shared" si="7"/>
        <v>0</v>
      </c>
      <c r="M77" t="str">
        <f t="shared" si="8"/>
        <v/>
      </c>
      <c r="N77" s="135" t="str">
        <f t="shared" si="9"/>
        <v/>
      </c>
      <c r="O77" s="135" t="str">
        <f t="shared" si="9"/>
        <v/>
      </c>
      <c r="P77" s="135" t="str">
        <f t="shared" si="9"/>
        <v/>
      </c>
      <c r="Q77" s="135" t="str">
        <f t="shared" si="9"/>
        <v/>
      </c>
      <c r="R77" s="135" t="str">
        <f t="shared" si="9"/>
        <v/>
      </c>
      <c r="S77" s="135" t="str">
        <f t="shared" si="9"/>
        <v/>
      </c>
      <c r="T77" s="135" t="str">
        <f t="shared" si="9"/>
        <v/>
      </c>
      <c r="U77" s="135" t="str">
        <f t="shared" si="9"/>
        <v/>
      </c>
    </row>
    <row r="78" spans="1:21" ht="15" hidden="1" customHeight="1" x14ac:dyDescent="0.2">
      <c r="A78" s="165"/>
      <c r="B78" s="156"/>
      <c r="C78" s="157"/>
      <c r="D78" s="157"/>
      <c r="E78" s="131"/>
      <c r="F78" s="153" t="str">
        <f>IF(A78="","",IFERROR(INDEX(Table_Complete_CGNC_PCG!$E:$E,MATCH(L78,Table_Complete_CGNC_PCG!$I:$I,0)),"? Non mappe"))</f>
        <v/>
      </c>
      <c r="G78" s="149" t="str">
        <f>IF(A78="","",IFERROR(INDEX(Table_Complete_CGNC_PCG!$F:$F,MATCH(L78,Table_Complete_CGNC_PCG!$I:$I,0)),"Non trouve — ajouter dans la table"))</f>
        <v/>
      </c>
      <c r="H78" s="148" t="str">
        <f t="shared" si="10"/>
        <v/>
      </c>
      <c r="I78" s="148" t="str">
        <f t="shared" si="11"/>
        <v/>
      </c>
      <c r="J78" s="131"/>
      <c r="K78" s="143" t="str">
        <f>IF(A78="","",IFERROR(IF(F78="? Non mappe","Compte non trouve - mapper manuellement",IF(AND(ISNUMBER(SEARCH("516",L78)),D78&gt;0),"CAISSE CREDITRICE - anomalie a corriger",IF(IFERROR(INDEX(Table_Complete_CGNC_PCG!$D:$D,MATCH(L78,Table_Complete_CGNC_PCG!$I:$I,0)),"")="?","Retraitement requis - voir table","OK"))),"Erreur"))</f>
        <v/>
      </c>
      <c r="L78" s="141" t="str">
        <f t="shared" si="7"/>
        <v>0</v>
      </c>
      <c r="M78" t="str">
        <f t="shared" si="8"/>
        <v/>
      </c>
      <c r="N78" s="135" t="str">
        <f t="shared" si="9"/>
        <v/>
      </c>
      <c r="O78" s="135" t="str">
        <f t="shared" si="9"/>
        <v/>
      </c>
      <c r="P78" s="135" t="str">
        <f t="shared" si="9"/>
        <v/>
      </c>
      <c r="Q78" s="135" t="str">
        <f t="shared" si="9"/>
        <v/>
      </c>
      <c r="R78" s="135" t="str">
        <f t="shared" si="9"/>
        <v/>
      </c>
      <c r="S78" s="135" t="str">
        <f t="shared" si="9"/>
        <v/>
      </c>
      <c r="T78" s="135" t="str">
        <f t="shared" si="9"/>
        <v/>
      </c>
      <c r="U78" s="135" t="str">
        <f t="shared" si="9"/>
        <v/>
      </c>
    </row>
    <row r="79" spans="1:21" ht="15" hidden="1" customHeight="1" x14ac:dyDescent="0.2">
      <c r="A79" s="163"/>
      <c r="B79" s="154"/>
      <c r="C79" s="155"/>
      <c r="D79" s="155"/>
      <c r="E79" s="131"/>
      <c r="F79" s="146" t="str">
        <f>IF(A79="","",IFERROR(INDEX(Table_Complete_CGNC_PCG!$E:$E,MATCH(L79,Table_Complete_CGNC_PCG!$I:$I,0)),"? Non mappe"))</f>
        <v/>
      </c>
      <c r="G79" s="147" t="str">
        <f>IF(A79="","",IFERROR(INDEX(Table_Complete_CGNC_PCG!$F:$F,MATCH(L79,Table_Complete_CGNC_PCG!$I:$I,0)),"Non trouve — ajouter dans la table"))</f>
        <v/>
      </c>
      <c r="H79" s="148" t="str">
        <f t="shared" si="10"/>
        <v/>
      </c>
      <c r="I79" s="148" t="str">
        <f t="shared" si="11"/>
        <v/>
      </c>
      <c r="J79" s="131"/>
      <c r="K79" s="143" t="str">
        <f>IF(A79="","",IFERROR(IF(F79="? Non mappe","Compte non trouve - mapper manuellement",IF(AND(ISNUMBER(SEARCH("516",L79)),D79&gt;0),"CAISSE CREDITRICE - anomalie a corriger",IF(IFERROR(INDEX(Table_Complete_CGNC_PCG!$D:$D,MATCH(L79,Table_Complete_CGNC_PCG!$I:$I,0)),"")="?","Retraitement requis - voir table","OK"))),"Erreur"))</f>
        <v/>
      </c>
      <c r="L79" s="141" t="str">
        <f t="shared" si="7"/>
        <v>0</v>
      </c>
      <c r="M79" t="str">
        <f t="shared" si="8"/>
        <v/>
      </c>
      <c r="N79" s="135" t="str">
        <f t="shared" si="9"/>
        <v/>
      </c>
      <c r="O79" s="135" t="str">
        <f t="shared" si="9"/>
        <v/>
      </c>
      <c r="P79" s="135" t="str">
        <f t="shared" si="9"/>
        <v/>
      </c>
      <c r="Q79" s="135" t="str">
        <f t="shared" si="9"/>
        <v/>
      </c>
      <c r="R79" s="135" t="str">
        <f t="shared" si="9"/>
        <v/>
      </c>
      <c r="S79" s="135" t="str">
        <f t="shared" si="9"/>
        <v/>
      </c>
      <c r="T79" s="135" t="str">
        <f t="shared" si="9"/>
        <v/>
      </c>
      <c r="U79" s="135" t="str">
        <f t="shared" si="9"/>
        <v/>
      </c>
    </row>
    <row r="80" spans="1:21" ht="15" hidden="1" customHeight="1" x14ac:dyDescent="0.2">
      <c r="A80" s="165"/>
      <c r="B80" s="156"/>
      <c r="C80" s="157"/>
      <c r="D80" s="157"/>
      <c r="E80" s="131"/>
      <c r="F80" s="153" t="str">
        <f>IF(A80="","",IFERROR(INDEX(Table_Complete_CGNC_PCG!$E:$E,MATCH(L80,Table_Complete_CGNC_PCG!$I:$I,0)),"? Non mappe"))</f>
        <v/>
      </c>
      <c r="G80" s="149" t="str">
        <f>IF(A80="","",IFERROR(INDEX(Table_Complete_CGNC_PCG!$F:$F,MATCH(L80,Table_Complete_CGNC_PCG!$I:$I,0)),"Non trouve — ajouter dans la table"))</f>
        <v/>
      </c>
      <c r="H80" s="148" t="str">
        <f t="shared" si="10"/>
        <v/>
      </c>
      <c r="I80" s="148" t="str">
        <f t="shared" si="11"/>
        <v/>
      </c>
      <c r="J80" s="131"/>
      <c r="K80" s="143" t="str">
        <f>IF(A80="","",IFERROR(IF(F80="? Non mappe","Compte non trouve - mapper manuellement",IF(AND(ISNUMBER(SEARCH("516",L80)),D80&gt;0),"CAISSE CREDITRICE - anomalie a corriger",IF(IFERROR(INDEX(Table_Complete_CGNC_PCG!$D:$D,MATCH(L80,Table_Complete_CGNC_PCG!$I:$I,0)),"")="?","Retraitement requis - voir table","OK"))),"Erreur"))</f>
        <v/>
      </c>
      <c r="L80" s="141" t="str">
        <f t="shared" si="7"/>
        <v>0</v>
      </c>
      <c r="M80" t="str">
        <f t="shared" si="8"/>
        <v/>
      </c>
      <c r="N80" s="135" t="str">
        <f t="shared" si="9"/>
        <v/>
      </c>
      <c r="O80" s="135" t="str">
        <f t="shared" si="9"/>
        <v/>
      </c>
      <c r="P80" s="135" t="str">
        <f t="shared" si="9"/>
        <v/>
      </c>
      <c r="Q80" s="135" t="str">
        <f t="shared" si="9"/>
        <v/>
      </c>
      <c r="R80" s="135" t="str">
        <f t="shared" si="9"/>
        <v/>
      </c>
      <c r="S80" s="135" t="str">
        <f t="shared" si="9"/>
        <v/>
      </c>
      <c r="T80" s="135" t="str">
        <f t="shared" si="9"/>
        <v/>
      </c>
      <c r="U80" s="135" t="str">
        <f t="shared" si="9"/>
        <v/>
      </c>
    </row>
    <row r="81" spans="1:21" ht="15" hidden="1" customHeight="1" x14ac:dyDescent="0.2">
      <c r="A81" s="163"/>
      <c r="B81" s="154"/>
      <c r="C81" s="155"/>
      <c r="D81" s="155"/>
      <c r="E81" s="131"/>
      <c r="F81" s="146" t="str">
        <f>IF(A81="","",IFERROR(INDEX(Table_Complete_CGNC_PCG!$E:$E,MATCH(L81,Table_Complete_CGNC_PCG!$I:$I,0)),"? Non mappe"))</f>
        <v/>
      </c>
      <c r="G81" s="147" t="str">
        <f>IF(A81="","",IFERROR(INDEX(Table_Complete_CGNC_PCG!$F:$F,MATCH(L81,Table_Complete_CGNC_PCG!$I:$I,0)),"Non trouve — ajouter dans la table"))</f>
        <v/>
      </c>
      <c r="H81" s="148" t="str">
        <f t="shared" si="10"/>
        <v/>
      </c>
      <c r="I81" s="148" t="str">
        <f t="shared" si="11"/>
        <v/>
      </c>
      <c r="J81" s="131"/>
      <c r="K81" s="143" t="str">
        <f>IF(A81="","",IFERROR(IF(F81="? Non mappe","Compte non trouve - mapper manuellement",IF(AND(ISNUMBER(SEARCH("516",L81)),D81&gt;0),"CAISSE CREDITRICE - anomalie a corriger",IF(IFERROR(INDEX(Table_Complete_CGNC_PCG!$D:$D,MATCH(L81,Table_Complete_CGNC_PCG!$I:$I,0)),"")="?","Retraitement requis - voir table","OK"))),"Erreur"))</f>
        <v/>
      </c>
      <c r="L81" s="141" t="str">
        <f t="shared" si="7"/>
        <v>0</v>
      </c>
      <c r="M81" t="str">
        <f t="shared" si="8"/>
        <v/>
      </c>
      <c r="N81" s="135" t="str">
        <f t="shared" si="9"/>
        <v/>
      </c>
      <c r="O81" s="135" t="str">
        <f t="shared" si="9"/>
        <v/>
      </c>
      <c r="P81" s="135" t="str">
        <f t="shared" si="9"/>
        <v/>
      </c>
      <c r="Q81" s="135" t="str">
        <f t="shared" si="9"/>
        <v/>
      </c>
      <c r="R81" s="135" t="str">
        <f t="shared" si="9"/>
        <v/>
      </c>
      <c r="S81" s="135" t="str">
        <f t="shared" si="9"/>
        <v/>
      </c>
      <c r="T81" s="135" t="str">
        <f t="shared" si="9"/>
        <v/>
      </c>
      <c r="U81" s="135" t="str">
        <f t="shared" si="9"/>
        <v/>
      </c>
    </row>
    <row r="82" spans="1:21" ht="15" hidden="1" customHeight="1" x14ac:dyDescent="0.2">
      <c r="A82" s="165"/>
      <c r="B82" s="156"/>
      <c r="C82" s="157"/>
      <c r="D82" s="157"/>
      <c r="E82" s="131"/>
      <c r="F82" s="153" t="str">
        <f>IF(A82="","",IFERROR(INDEX(Table_Complete_CGNC_PCG!$E:$E,MATCH(L82,Table_Complete_CGNC_PCG!$I:$I,0)),"? Non mappe"))</f>
        <v/>
      </c>
      <c r="G82" s="149" t="str">
        <f>IF(A82="","",IFERROR(INDEX(Table_Complete_CGNC_PCG!$F:$F,MATCH(L82,Table_Complete_CGNC_PCG!$I:$I,0)),"Non trouve — ajouter dans la table"))</f>
        <v/>
      </c>
      <c r="H82" s="148" t="str">
        <f t="shared" si="10"/>
        <v/>
      </c>
      <c r="I82" s="148" t="str">
        <f t="shared" si="11"/>
        <v/>
      </c>
      <c r="J82" s="131"/>
      <c r="K82" s="143" t="str">
        <f>IF(A82="","",IFERROR(IF(F82="? Non mappe","Compte non trouve - mapper manuellement",IF(AND(ISNUMBER(SEARCH("516",L82)),D82&gt;0),"CAISSE CREDITRICE - anomalie a corriger",IF(IFERROR(INDEX(Table_Complete_CGNC_PCG!$D:$D,MATCH(L82,Table_Complete_CGNC_PCG!$I:$I,0)),"")="?","Retraitement requis - voir table","OK"))),"Erreur"))</f>
        <v/>
      </c>
      <c r="L82" s="141" t="str">
        <f t="shared" si="7"/>
        <v>0</v>
      </c>
      <c r="M82" t="str">
        <f t="shared" si="8"/>
        <v/>
      </c>
      <c r="N82" s="135" t="str">
        <f t="shared" si="9"/>
        <v/>
      </c>
      <c r="O82" s="135" t="str">
        <f t="shared" si="9"/>
        <v/>
      </c>
      <c r="P82" s="135" t="str">
        <f t="shared" si="9"/>
        <v/>
      </c>
      <c r="Q82" s="135" t="str">
        <f t="shared" si="9"/>
        <v/>
      </c>
      <c r="R82" s="135" t="str">
        <f t="shared" si="9"/>
        <v/>
      </c>
      <c r="S82" s="135" t="str">
        <f t="shared" si="9"/>
        <v/>
      </c>
      <c r="T82" s="135" t="str">
        <f t="shared" si="9"/>
        <v/>
      </c>
      <c r="U82" s="135" t="str">
        <f t="shared" si="9"/>
        <v/>
      </c>
    </row>
    <row r="83" spans="1:21" ht="15" hidden="1" customHeight="1" x14ac:dyDescent="0.2">
      <c r="A83" s="163"/>
      <c r="B83" s="154"/>
      <c r="C83" s="155"/>
      <c r="D83" s="155"/>
      <c r="E83" s="131"/>
      <c r="F83" s="146" t="str">
        <f>IF(A83="","",IFERROR(INDEX(Table_Complete_CGNC_PCG!$E:$E,MATCH(L83,Table_Complete_CGNC_PCG!$I:$I,0)),"? Non mappe"))</f>
        <v/>
      </c>
      <c r="G83" s="147" t="str">
        <f>IF(A83="","",IFERROR(INDEX(Table_Complete_CGNC_PCG!$F:$F,MATCH(L83,Table_Complete_CGNC_PCG!$I:$I,0)),"Non trouve — ajouter dans la table"))</f>
        <v/>
      </c>
      <c r="H83" s="148" t="str">
        <f t="shared" si="10"/>
        <v/>
      </c>
      <c r="I83" s="148" t="str">
        <f t="shared" si="11"/>
        <v/>
      </c>
      <c r="J83" s="131"/>
      <c r="K83" s="143" t="str">
        <f>IF(A83="","",IFERROR(IF(F83="? Non mappe","Compte non trouve - mapper manuellement",IF(AND(ISNUMBER(SEARCH("516",L83)),D83&gt;0),"CAISSE CREDITRICE - anomalie a corriger",IF(IFERROR(INDEX(Table_Complete_CGNC_PCG!$D:$D,MATCH(L83,Table_Complete_CGNC_PCG!$I:$I,0)),"")="?","Retraitement requis - voir table","OK"))),"Erreur"))</f>
        <v/>
      </c>
      <c r="L83" s="141" t="str">
        <f t="shared" si="7"/>
        <v>0</v>
      </c>
      <c r="M83" t="str">
        <f t="shared" si="8"/>
        <v/>
      </c>
      <c r="N83" s="135" t="str">
        <f t="shared" si="9"/>
        <v/>
      </c>
      <c r="O83" s="135" t="str">
        <f t="shared" si="9"/>
        <v/>
      </c>
      <c r="P83" s="135" t="str">
        <f t="shared" si="9"/>
        <v/>
      </c>
      <c r="Q83" s="135" t="str">
        <f t="shared" si="9"/>
        <v/>
      </c>
      <c r="R83" s="135" t="str">
        <f t="shared" si="9"/>
        <v/>
      </c>
      <c r="S83" s="135" t="str">
        <f t="shared" si="9"/>
        <v/>
      </c>
      <c r="T83" s="135" t="str">
        <f t="shared" si="9"/>
        <v/>
      </c>
      <c r="U83" s="135" t="str">
        <f t="shared" si="9"/>
        <v/>
      </c>
    </row>
    <row r="84" spans="1:21" ht="15" hidden="1" customHeight="1" x14ac:dyDescent="0.2">
      <c r="A84" s="165"/>
      <c r="B84" s="156"/>
      <c r="C84" s="157"/>
      <c r="D84" s="157"/>
      <c r="E84" s="131"/>
      <c r="F84" s="153" t="str">
        <f>IF(A84="","",IFERROR(INDEX(Table_Complete_CGNC_PCG!$E:$E,MATCH(L84,Table_Complete_CGNC_PCG!$I:$I,0)),"? Non mappe"))</f>
        <v/>
      </c>
      <c r="G84" s="149" t="str">
        <f>IF(A84="","",IFERROR(INDEX(Table_Complete_CGNC_PCG!$F:$F,MATCH(L84,Table_Complete_CGNC_PCG!$I:$I,0)),"Non trouve — ajouter dans la table"))</f>
        <v/>
      </c>
      <c r="H84" s="148" t="str">
        <f t="shared" si="10"/>
        <v/>
      </c>
      <c r="I84" s="148" t="str">
        <f t="shared" si="11"/>
        <v/>
      </c>
      <c r="J84" s="131"/>
      <c r="K84" s="143" t="str">
        <f>IF(A84="","",IFERROR(IF(F84="? Non mappe","Compte non trouve - mapper manuellement",IF(AND(ISNUMBER(SEARCH("516",L84)),D84&gt;0),"CAISSE CREDITRICE - anomalie a corriger",IF(IFERROR(INDEX(Table_Complete_CGNC_PCG!$D:$D,MATCH(L84,Table_Complete_CGNC_PCG!$I:$I,0)),"")="?","Retraitement requis - voir table","OK"))),"Erreur"))</f>
        <v/>
      </c>
      <c r="L84" s="141" t="str">
        <f t="shared" si="7"/>
        <v>0</v>
      </c>
      <c r="M84" t="str">
        <f t="shared" si="8"/>
        <v/>
      </c>
      <c r="N84" s="135" t="str">
        <f t="shared" ref="N84:U99" si="12">IF(M84="","",IF(AND(LEN(M84)&gt;3,RIGHT(M84,1)="0"),LEFT(M84,LEN(M84)-1),M84))</f>
        <v/>
      </c>
      <c r="O84" s="135" t="str">
        <f t="shared" si="12"/>
        <v/>
      </c>
      <c r="P84" s="135" t="str">
        <f t="shared" si="12"/>
        <v/>
      </c>
      <c r="Q84" s="135" t="str">
        <f t="shared" si="12"/>
        <v/>
      </c>
      <c r="R84" s="135" t="str">
        <f t="shared" si="12"/>
        <v/>
      </c>
      <c r="S84" s="135" t="str">
        <f t="shared" si="12"/>
        <v/>
      </c>
      <c r="T84" s="135" t="str">
        <f t="shared" si="12"/>
        <v/>
      </c>
      <c r="U84" s="135" t="str">
        <f t="shared" si="12"/>
        <v/>
      </c>
    </row>
    <row r="85" spans="1:21" ht="15" hidden="1" customHeight="1" x14ac:dyDescent="0.2">
      <c r="A85" s="163"/>
      <c r="B85" s="154"/>
      <c r="C85" s="155"/>
      <c r="D85" s="155"/>
      <c r="E85" s="131"/>
      <c r="F85" s="146" t="str">
        <f>IF(A85="","",IFERROR(INDEX(Table_Complete_CGNC_PCG!$E:$E,MATCH(L85,Table_Complete_CGNC_PCG!$I:$I,0)),"? Non mappe"))</f>
        <v/>
      </c>
      <c r="G85" s="147" t="str">
        <f>IF(A85="","",IFERROR(INDEX(Table_Complete_CGNC_PCG!$F:$F,MATCH(L85,Table_Complete_CGNC_PCG!$I:$I,0)),"Non trouve — ajouter dans la table"))</f>
        <v/>
      </c>
      <c r="H85" s="148" t="str">
        <f t="shared" si="10"/>
        <v/>
      </c>
      <c r="I85" s="148" t="str">
        <f t="shared" si="11"/>
        <v/>
      </c>
      <c r="J85" s="131"/>
      <c r="K85" s="143" t="str">
        <f>IF(A85="","",IFERROR(IF(F85="? Non mappe","Compte non trouve - mapper manuellement",IF(AND(ISNUMBER(SEARCH("516",L85)),D85&gt;0),"CAISSE CREDITRICE - anomalie a corriger",IF(IFERROR(INDEX(Table_Complete_CGNC_PCG!$D:$D,MATCH(L85,Table_Complete_CGNC_PCG!$I:$I,0)),"")="?","Retraitement requis - voir table","OK"))),"Erreur"))</f>
        <v/>
      </c>
      <c r="L85" s="141" t="str">
        <f t="shared" si="7"/>
        <v>0</v>
      </c>
      <c r="M85" t="str">
        <f t="shared" si="8"/>
        <v/>
      </c>
      <c r="N85" s="135" t="str">
        <f t="shared" si="12"/>
        <v/>
      </c>
      <c r="O85" s="135" t="str">
        <f t="shared" si="12"/>
        <v/>
      </c>
      <c r="P85" s="135" t="str">
        <f t="shared" si="12"/>
        <v/>
      </c>
      <c r="Q85" s="135" t="str">
        <f t="shared" si="12"/>
        <v/>
      </c>
      <c r="R85" s="135" t="str">
        <f t="shared" si="12"/>
        <v/>
      </c>
      <c r="S85" s="135" t="str">
        <f t="shared" si="12"/>
        <v/>
      </c>
      <c r="T85" s="135" t="str">
        <f t="shared" si="12"/>
        <v/>
      </c>
      <c r="U85" s="135" t="str">
        <f t="shared" si="12"/>
        <v/>
      </c>
    </row>
    <row r="86" spans="1:21" ht="15" hidden="1" customHeight="1" x14ac:dyDescent="0.2">
      <c r="A86" s="165"/>
      <c r="B86" s="156"/>
      <c r="C86" s="157"/>
      <c r="D86" s="157"/>
      <c r="E86" s="131"/>
      <c r="F86" s="153" t="str">
        <f>IF(A86="","",IFERROR(INDEX(Table_Complete_CGNC_PCG!$E:$E,MATCH(L86,Table_Complete_CGNC_PCG!$I:$I,0)),"? Non mappe"))</f>
        <v/>
      </c>
      <c r="G86" s="149" t="str">
        <f>IF(A86="","",IFERROR(INDEX(Table_Complete_CGNC_PCG!$F:$F,MATCH(L86,Table_Complete_CGNC_PCG!$I:$I,0)),"Non trouve — ajouter dans la table"))</f>
        <v/>
      </c>
      <c r="H86" s="148" t="str">
        <f t="shared" si="10"/>
        <v/>
      </c>
      <c r="I86" s="148" t="str">
        <f t="shared" si="11"/>
        <v/>
      </c>
      <c r="J86" s="131"/>
      <c r="K86" s="143" t="str">
        <f>IF(A86="","",IFERROR(IF(F86="? Non mappe","Compte non trouve - mapper manuellement",IF(AND(ISNUMBER(SEARCH("516",L86)),D86&gt;0),"CAISSE CREDITRICE - anomalie a corriger",IF(IFERROR(INDEX(Table_Complete_CGNC_PCG!$D:$D,MATCH(L86,Table_Complete_CGNC_PCG!$I:$I,0)),"")="?","Retraitement requis - voir table","OK"))),"Erreur"))</f>
        <v/>
      </c>
      <c r="L86" s="141" t="str">
        <f t="shared" si="7"/>
        <v>0</v>
      </c>
      <c r="M86" t="str">
        <f t="shared" si="8"/>
        <v/>
      </c>
      <c r="N86" s="135" t="str">
        <f t="shared" si="12"/>
        <v/>
      </c>
      <c r="O86" s="135" t="str">
        <f t="shared" si="12"/>
        <v/>
      </c>
      <c r="P86" s="135" t="str">
        <f t="shared" si="12"/>
        <v/>
      </c>
      <c r="Q86" s="135" t="str">
        <f t="shared" si="12"/>
        <v/>
      </c>
      <c r="R86" s="135" t="str">
        <f t="shared" si="12"/>
        <v/>
      </c>
      <c r="S86" s="135" t="str">
        <f t="shared" si="12"/>
        <v/>
      </c>
      <c r="T86" s="135" t="str">
        <f t="shared" si="12"/>
        <v/>
      </c>
      <c r="U86" s="135" t="str">
        <f t="shared" si="12"/>
        <v/>
      </c>
    </row>
    <row r="87" spans="1:21" ht="15" hidden="1" customHeight="1" x14ac:dyDescent="0.2">
      <c r="A87" s="163"/>
      <c r="B87" s="154"/>
      <c r="C87" s="155"/>
      <c r="D87" s="155"/>
      <c r="E87" s="131"/>
      <c r="F87" s="146" t="str">
        <f>IF(A87="","",IFERROR(INDEX(Table_Complete_CGNC_PCG!$E:$E,MATCH(L87,Table_Complete_CGNC_PCG!$I:$I,0)),"? Non mappe"))</f>
        <v/>
      </c>
      <c r="G87" s="147" t="str">
        <f>IF(A87="","",IFERROR(INDEX(Table_Complete_CGNC_PCG!$F:$F,MATCH(L87,Table_Complete_CGNC_PCG!$I:$I,0)),"Non trouve — ajouter dans la table"))</f>
        <v/>
      </c>
      <c r="H87" s="148" t="str">
        <f t="shared" si="10"/>
        <v/>
      </c>
      <c r="I87" s="148" t="str">
        <f t="shared" si="11"/>
        <v/>
      </c>
      <c r="J87" s="131"/>
      <c r="K87" s="143" t="str">
        <f>IF(A87="","",IFERROR(IF(F87="? Non mappe","Compte non trouve - mapper manuellement",IF(AND(ISNUMBER(SEARCH("516",L87)),D87&gt;0),"CAISSE CREDITRICE - anomalie a corriger",IF(IFERROR(INDEX(Table_Complete_CGNC_PCG!$D:$D,MATCH(L87,Table_Complete_CGNC_PCG!$I:$I,0)),"")="?","Retraitement requis - voir table","OK"))),"Erreur"))</f>
        <v/>
      </c>
      <c r="L87" s="141" t="str">
        <f t="shared" si="7"/>
        <v>0</v>
      </c>
      <c r="M87" t="str">
        <f t="shared" si="8"/>
        <v/>
      </c>
      <c r="N87" s="135" t="str">
        <f t="shared" si="12"/>
        <v/>
      </c>
      <c r="O87" s="135" t="str">
        <f t="shared" si="12"/>
        <v/>
      </c>
      <c r="P87" s="135" t="str">
        <f t="shared" si="12"/>
        <v/>
      </c>
      <c r="Q87" s="135" t="str">
        <f t="shared" si="12"/>
        <v/>
      </c>
      <c r="R87" s="135" t="str">
        <f t="shared" si="12"/>
        <v/>
      </c>
      <c r="S87" s="135" t="str">
        <f t="shared" si="12"/>
        <v/>
      </c>
      <c r="T87" s="135" t="str">
        <f t="shared" si="12"/>
        <v/>
      </c>
      <c r="U87" s="135" t="str">
        <f t="shared" si="12"/>
        <v/>
      </c>
    </row>
    <row r="88" spans="1:21" ht="15" hidden="1" customHeight="1" x14ac:dyDescent="0.2">
      <c r="A88" s="165"/>
      <c r="B88" s="156"/>
      <c r="C88" s="157"/>
      <c r="D88" s="157"/>
      <c r="E88" s="131"/>
      <c r="F88" s="153" t="str">
        <f>IF(A88="","",IFERROR(INDEX(Table_Complete_CGNC_PCG!$E:$E,MATCH(L88,Table_Complete_CGNC_PCG!$I:$I,0)),"? Non mappe"))</f>
        <v/>
      </c>
      <c r="G88" s="149" t="str">
        <f>IF(A88="","",IFERROR(INDEX(Table_Complete_CGNC_PCG!$F:$F,MATCH(L88,Table_Complete_CGNC_PCG!$I:$I,0)),"Non trouve — ajouter dans la table"))</f>
        <v/>
      </c>
      <c r="H88" s="148" t="str">
        <f t="shared" si="10"/>
        <v/>
      </c>
      <c r="I88" s="148" t="str">
        <f t="shared" si="11"/>
        <v/>
      </c>
      <c r="J88" s="131"/>
      <c r="K88" s="143" t="str">
        <f>IF(A88="","",IFERROR(IF(F88="? Non mappe","Compte non trouve - mapper manuellement",IF(AND(ISNUMBER(SEARCH("516",L88)),D88&gt;0),"CAISSE CREDITRICE - anomalie a corriger",IF(IFERROR(INDEX(Table_Complete_CGNC_PCG!$D:$D,MATCH(L88,Table_Complete_CGNC_PCG!$I:$I,0)),"")="?","Retraitement requis - voir table","OK"))),"Erreur"))</f>
        <v/>
      </c>
      <c r="L88" s="141" t="str">
        <f t="shared" si="7"/>
        <v>0</v>
      </c>
      <c r="M88" t="str">
        <f t="shared" si="8"/>
        <v/>
      </c>
      <c r="N88" s="135" t="str">
        <f t="shared" si="12"/>
        <v/>
      </c>
      <c r="O88" s="135" t="str">
        <f t="shared" si="12"/>
        <v/>
      </c>
      <c r="P88" s="135" t="str">
        <f t="shared" si="12"/>
        <v/>
      </c>
      <c r="Q88" s="135" t="str">
        <f t="shared" si="12"/>
        <v/>
      </c>
      <c r="R88" s="135" t="str">
        <f t="shared" si="12"/>
        <v/>
      </c>
      <c r="S88" s="135" t="str">
        <f t="shared" si="12"/>
        <v/>
      </c>
      <c r="T88" s="135" t="str">
        <f t="shared" si="12"/>
        <v/>
      </c>
      <c r="U88" s="135" t="str">
        <f t="shared" si="12"/>
        <v/>
      </c>
    </row>
    <row r="89" spans="1:21" ht="15" hidden="1" customHeight="1" x14ac:dyDescent="0.2">
      <c r="A89" s="163"/>
      <c r="B89" s="154"/>
      <c r="C89" s="155"/>
      <c r="D89" s="155"/>
      <c r="E89" s="131"/>
      <c r="F89" s="146" t="str">
        <f>IF(A89="","",IFERROR(INDEX(Table_Complete_CGNC_PCG!$E:$E,MATCH(L89,Table_Complete_CGNC_PCG!$I:$I,0)),"? Non mappe"))</f>
        <v/>
      </c>
      <c r="G89" s="147" t="str">
        <f>IF(A89="","",IFERROR(INDEX(Table_Complete_CGNC_PCG!$F:$F,MATCH(L89,Table_Complete_CGNC_PCG!$I:$I,0)),"Non trouve — ajouter dans la table"))</f>
        <v/>
      </c>
      <c r="H89" s="148" t="str">
        <f t="shared" si="10"/>
        <v/>
      </c>
      <c r="I89" s="148" t="str">
        <f t="shared" si="11"/>
        <v/>
      </c>
      <c r="J89" s="131"/>
      <c r="K89" s="143" t="str">
        <f>IF(A89="","",IFERROR(IF(F89="? Non mappe","Compte non trouve - mapper manuellement",IF(AND(ISNUMBER(SEARCH("516",L89)),D89&gt;0),"CAISSE CREDITRICE - anomalie a corriger",IF(IFERROR(INDEX(Table_Complete_CGNC_PCG!$D:$D,MATCH(L89,Table_Complete_CGNC_PCG!$I:$I,0)),"")="?","Retraitement requis - voir table","OK"))),"Erreur"))</f>
        <v/>
      </c>
      <c r="L89" s="141" t="str">
        <f t="shared" si="7"/>
        <v>0</v>
      </c>
      <c r="M89" t="str">
        <f t="shared" si="8"/>
        <v/>
      </c>
      <c r="N89" s="135" t="str">
        <f t="shared" si="12"/>
        <v/>
      </c>
      <c r="O89" s="135" t="str">
        <f t="shared" si="12"/>
        <v/>
      </c>
      <c r="P89" s="135" t="str">
        <f t="shared" si="12"/>
        <v/>
      </c>
      <c r="Q89" s="135" t="str">
        <f t="shared" si="12"/>
        <v/>
      </c>
      <c r="R89" s="135" t="str">
        <f t="shared" si="12"/>
        <v/>
      </c>
      <c r="S89" s="135" t="str">
        <f t="shared" si="12"/>
        <v/>
      </c>
      <c r="T89" s="135" t="str">
        <f t="shared" si="12"/>
        <v/>
      </c>
      <c r="U89" s="135" t="str">
        <f t="shared" si="12"/>
        <v/>
      </c>
    </row>
    <row r="90" spans="1:21" ht="15" hidden="1" customHeight="1" x14ac:dyDescent="0.2">
      <c r="A90" s="165"/>
      <c r="B90" s="156"/>
      <c r="C90" s="157"/>
      <c r="D90" s="157"/>
      <c r="E90" s="131"/>
      <c r="F90" s="153" t="str">
        <f>IF(A90="","",IFERROR(INDEX(Table_Complete_CGNC_PCG!$E:$E,MATCH(L90,Table_Complete_CGNC_PCG!$I:$I,0)),"? Non mappe"))</f>
        <v/>
      </c>
      <c r="G90" s="149" t="str">
        <f>IF(A90="","",IFERROR(INDEX(Table_Complete_CGNC_PCG!$F:$F,MATCH(L90,Table_Complete_CGNC_PCG!$I:$I,0)),"Non trouve — ajouter dans la table"))</f>
        <v/>
      </c>
      <c r="H90" s="148" t="str">
        <f t="shared" si="10"/>
        <v/>
      </c>
      <c r="I90" s="148" t="str">
        <f t="shared" si="11"/>
        <v/>
      </c>
      <c r="J90" s="131"/>
      <c r="K90" s="143" t="str">
        <f>IF(A90="","",IFERROR(IF(F90="? Non mappe","Compte non trouve - mapper manuellement",IF(AND(ISNUMBER(SEARCH("516",L90)),D90&gt;0),"CAISSE CREDITRICE - anomalie a corriger",IF(IFERROR(INDEX(Table_Complete_CGNC_PCG!$D:$D,MATCH(L90,Table_Complete_CGNC_PCG!$I:$I,0)),"")="?","Retraitement requis - voir table","OK"))),"Erreur"))</f>
        <v/>
      </c>
      <c r="L90" s="141" t="str">
        <f t="shared" si="7"/>
        <v>0</v>
      </c>
      <c r="M90" t="str">
        <f t="shared" si="8"/>
        <v/>
      </c>
      <c r="N90" s="135" t="str">
        <f t="shared" si="12"/>
        <v/>
      </c>
      <c r="O90" s="135" t="str">
        <f t="shared" si="12"/>
        <v/>
      </c>
      <c r="P90" s="135" t="str">
        <f t="shared" si="12"/>
        <v/>
      </c>
      <c r="Q90" s="135" t="str">
        <f t="shared" si="12"/>
        <v/>
      </c>
      <c r="R90" s="135" t="str">
        <f t="shared" si="12"/>
        <v/>
      </c>
      <c r="S90" s="135" t="str">
        <f t="shared" si="12"/>
        <v/>
      </c>
      <c r="T90" s="135" t="str">
        <f t="shared" si="12"/>
        <v/>
      </c>
      <c r="U90" s="135" t="str">
        <f t="shared" si="12"/>
        <v/>
      </c>
    </row>
    <row r="91" spans="1:21" ht="15" hidden="1" customHeight="1" x14ac:dyDescent="0.2">
      <c r="A91" s="163"/>
      <c r="B91" s="154"/>
      <c r="C91" s="155"/>
      <c r="D91" s="155"/>
      <c r="E91" s="131"/>
      <c r="F91" s="146" t="str">
        <f>IF(A91="","",IFERROR(INDEX(Table_Complete_CGNC_PCG!$E:$E,MATCH(L91,Table_Complete_CGNC_PCG!$I:$I,0)),"? Non mappe"))</f>
        <v/>
      </c>
      <c r="G91" s="147" t="str">
        <f>IF(A91="","",IFERROR(INDEX(Table_Complete_CGNC_PCG!$F:$F,MATCH(L91,Table_Complete_CGNC_PCG!$I:$I,0)),"Non trouve — ajouter dans la table"))</f>
        <v/>
      </c>
      <c r="H91" s="148" t="str">
        <f t="shared" si="10"/>
        <v/>
      </c>
      <c r="I91" s="148" t="str">
        <f t="shared" si="11"/>
        <v/>
      </c>
      <c r="J91" s="131"/>
      <c r="K91" s="143" t="str">
        <f>IF(A91="","",IFERROR(IF(F91="? Non mappe","Compte non trouve - mapper manuellement",IF(AND(ISNUMBER(SEARCH("516",L91)),D91&gt;0),"CAISSE CREDITRICE - anomalie a corriger",IF(IFERROR(INDEX(Table_Complete_CGNC_PCG!$D:$D,MATCH(L91,Table_Complete_CGNC_PCG!$I:$I,0)),"")="?","Retraitement requis - voir table","OK"))),"Erreur"))</f>
        <v/>
      </c>
      <c r="L91" s="141" t="str">
        <f t="shared" ref="L91:L122" si="13">LEFT(TEXT(A91,"0"),4)</f>
        <v>0</v>
      </c>
      <c r="M91" t="str">
        <f t="shared" ref="M91:M122" si="14">IF(A91="","",TRIM(A91&amp;""))</f>
        <v/>
      </c>
      <c r="N91" s="135" t="str">
        <f t="shared" si="12"/>
        <v/>
      </c>
      <c r="O91" s="135" t="str">
        <f t="shared" si="12"/>
        <v/>
      </c>
      <c r="P91" s="135" t="str">
        <f t="shared" si="12"/>
        <v/>
      </c>
      <c r="Q91" s="135" t="str">
        <f t="shared" si="12"/>
        <v/>
      </c>
      <c r="R91" s="135" t="str">
        <f t="shared" si="12"/>
        <v/>
      </c>
      <c r="S91" s="135" t="str">
        <f t="shared" si="12"/>
        <v/>
      </c>
      <c r="T91" s="135" t="str">
        <f t="shared" si="12"/>
        <v/>
      </c>
      <c r="U91" s="135" t="str">
        <f t="shared" si="12"/>
        <v/>
      </c>
    </row>
    <row r="92" spans="1:21" ht="15" hidden="1" customHeight="1" x14ac:dyDescent="0.2">
      <c r="A92" s="165"/>
      <c r="B92" s="156"/>
      <c r="C92" s="157"/>
      <c r="D92" s="157"/>
      <c r="E92" s="131"/>
      <c r="F92" s="153" t="str">
        <f>IF(A92="","",IFERROR(INDEX(Table_Complete_CGNC_PCG!$E:$E,MATCH(L92,Table_Complete_CGNC_PCG!$I:$I,0)),"? Non mappe"))</f>
        <v/>
      </c>
      <c r="G92" s="149" t="str">
        <f>IF(A92="","",IFERROR(INDEX(Table_Complete_CGNC_PCG!$F:$F,MATCH(L92,Table_Complete_CGNC_PCG!$I:$I,0)),"Non trouve — ajouter dans la table"))</f>
        <v/>
      </c>
      <c r="H92" s="148" t="str">
        <f t="shared" si="10"/>
        <v/>
      </c>
      <c r="I92" s="148" t="str">
        <f t="shared" si="11"/>
        <v/>
      </c>
      <c r="J92" s="131"/>
      <c r="K92" s="143" t="str">
        <f>IF(A92="","",IFERROR(IF(F92="? Non mappe","Compte non trouve - mapper manuellement",IF(AND(ISNUMBER(SEARCH("516",L92)),D92&gt;0),"CAISSE CREDITRICE - anomalie a corriger",IF(IFERROR(INDEX(Table_Complete_CGNC_PCG!$D:$D,MATCH(L92,Table_Complete_CGNC_PCG!$I:$I,0)),"")="?","Retraitement requis - voir table","OK"))),"Erreur"))</f>
        <v/>
      </c>
      <c r="L92" s="141" t="str">
        <f t="shared" si="13"/>
        <v>0</v>
      </c>
      <c r="M92" t="str">
        <f t="shared" si="14"/>
        <v/>
      </c>
      <c r="N92" s="135" t="str">
        <f t="shared" si="12"/>
        <v/>
      </c>
      <c r="O92" s="135" t="str">
        <f t="shared" si="12"/>
        <v/>
      </c>
      <c r="P92" s="135" t="str">
        <f t="shared" si="12"/>
        <v/>
      </c>
      <c r="Q92" s="135" t="str">
        <f t="shared" si="12"/>
        <v/>
      </c>
      <c r="R92" s="135" t="str">
        <f t="shared" si="12"/>
        <v/>
      </c>
      <c r="S92" s="135" t="str">
        <f t="shared" si="12"/>
        <v/>
      </c>
      <c r="T92" s="135" t="str">
        <f t="shared" si="12"/>
        <v/>
      </c>
      <c r="U92" s="135" t="str">
        <f t="shared" si="12"/>
        <v/>
      </c>
    </row>
    <row r="93" spans="1:21" ht="15" hidden="1" customHeight="1" x14ac:dyDescent="0.2">
      <c r="A93" s="163"/>
      <c r="B93" s="154"/>
      <c r="C93" s="155"/>
      <c r="D93" s="155"/>
      <c r="E93" s="131"/>
      <c r="F93" s="146" t="str">
        <f>IF(A93="","",IFERROR(INDEX(Table_Complete_CGNC_PCG!$E:$E,MATCH(L93,Table_Complete_CGNC_PCG!$I:$I,0)),"? Non mappe"))</f>
        <v/>
      </c>
      <c r="G93" s="147" t="str">
        <f>IF(A93="","",IFERROR(INDEX(Table_Complete_CGNC_PCG!$F:$F,MATCH(L93,Table_Complete_CGNC_PCG!$I:$I,0)),"Non trouve — ajouter dans la table"))</f>
        <v/>
      </c>
      <c r="H93" s="148" t="str">
        <f t="shared" si="10"/>
        <v/>
      </c>
      <c r="I93" s="148" t="str">
        <f t="shared" si="11"/>
        <v/>
      </c>
      <c r="J93" s="131"/>
      <c r="K93" s="143" t="str">
        <f>IF(A93="","",IFERROR(IF(F93="? Non mappe","Compte non trouve - mapper manuellement",IF(AND(ISNUMBER(SEARCH("516",L93)),D93&gt;0),"CAISSE CREDITRICE - anomalie a corriger",IF(IFERROR(INDEX(Table_Complete_CGNC_PCG!$D:$D,MATCH(L93,Table_Complete_CGNC_PCG!$I:$I,0)),"")="?","Retraitement requis - voir table","OK"))),"Erreur"))</f>
        <v/>
      </c>
      <c r="L93" s="141" t="str">
        <f t="shared" si="13"/>
        <v>0</v>
      </c>
      <c r="M93" t="str">
        <f t="shared" si="14"/>
        <v/>
      </c>
      <c r="N93" s="135" t="str">
        <f t="shared" si="12"/>
        <v/>
      </c>
      <c r="O93" s="135" t="str">
        <f t="shared" si="12"/>
        <v/>
      </c>
      <c r="P93" s="135" t="str">
        <f t="shared" si="12"/>
        <v/>
      </c>
      <c r="Q93" s="135" t="str">
        <f t="shared" si="12"/>
        <v/>
      </c>
      <c r="R93" s="135" t="str">
        <f t="shared" si="12"/>
        <v/>
      </c>
      <c r="S93" s="135" t="str">
        <f t="shared" si="12"/>
        <v/>
      </c>
      <c r="T93" s="135" t="str">
        <f t="shared" si="12"/>
        <v/>
      </c>
      <c r="U93" s="135" t="str">
        <f t="shared" si="12"/>
        <v/>
      </c>
    </row>
    <row r="94" spans="1:21" ht="15" hidden="1" customHeight="1" x14ac:dyDescent="0.2">
      <c r="A94" s="165"/>
      <c r="B94" s="156"/>
      <c r="C94" s="157"/>
      <c r="D94" s="157"/>
      <c r="E94" s="131"/>
      <c r="F94" s="153" t="str">
        <f>IF(A94="","",IFERROR(INDEX(Table_Complete_CGNC_PCG!$E:$E,MATCH(L94,Table_Complete_CGNC_PCG!$I:$I,0)),"? Non mappe"))</f>
        <v/>
      </c>
      <c r="G94" s="149" t="str">
        <f>IF(A94="","",IFERROR(INDEX(Table_Complete_CGNC_PCG!$F:$F,MATCH(L94,Table_Complete_CGNC_PCG!$I:$I,0)),"Non trouve — ajouter dans la table"))</f>
        <v/>
      </c>
      <c r="H94" s="148" t="str">
        <f t="shared" si="10"/>
        <v/>
      </c>
      <c r="I94" s="148" t="str">
        <f t="shared" si="11"/>
        <v/>
      </c>
      <c r="J94" s="131"/>
      <c r="K94" s="143" t="str">
        <f>IF(A94="","",IFERROR(IF(F94="? Non mappe","Compte non trouve - mapper manuellement",IF(AND(ISNUMBER(SEARCH("516",L94)),D94&gt;0),"CAISSE CREDITRICE - anomalie a corriger",IF(IFERROR(INDEX(Table_Complete_CGNC_PCG!$D:$D,MATCH(L94,Table_Complete_CGNC_PCG!$I:$I,0)),"")="?","Retraitement requis - voir table","OK"))),"Erreur"))</f>
        <v/>
      </c>
      <c r="L94" s="141" t="str">
        <f t="shared" si="13"/>
        <v>0</v>
      </c>
      <c r="M94" t="str">
        <f t="shared" si="14"/>
        <v/>
      </c>
      <c r="N94" s="135" t="str">
        <f t="shared" si="12"/>
        <v/>
      </c>
      <c r="O94" s="135" t="str">
        <f t="shared" si="12"/>
        <v/>
      </c>
      <c r="P94" s="135" t="str">
        <f t="shared" si="12"/>
        <v/>
      </c>
      <c r="Q94" s="135" t="str">
        <f t="shared" si="12"/>
        <v/>
      </c>
      <c r="R94" s="135" t="str">
        <f t="shared" si="12"/>
        <v/>
      </c>
      <c r="S94" s="135" t="str">
        <f t="shared" si="12"/>
        <v/>
      </c>
      <c r="T94" s="135" t="str">
        <f t="shared" si="12"/>
        <v/>
      </c>
      <c r="U94" s="135" t="str">
        <f t="shared" si="12"/>
        <v/>
      </c>
    </row>
    <row r="95" spans="1:21" ht="15" hidden="1" customHeight="1" x14ac:dyDescent="0.2">
      <c r="A95" s="163"/>
      <c r="B95" s="154"/>
      <c r="C95" s="155"/>
      <c r="D95" s="155"/>
      <c r="E95" s="131"/>
      <c r="F95" s="146" t="str">
        <f>IF(A95="","",IFERROR(INDEX(Table_Complete_CGNC_PCG!$E:$E,MATCH(L95,Table_Complete_CGNC_PCG!$I:$I,0)),"? Non mappe"))</f>
        <v/>
      </c>
      <c r="G95" s="147" t="str">
        <f>IF(A95="","",IFERROR(INDEX(Table_Complete_CGNC_PCG!$F:$F,MATCH(L95,Table_Complete_CGNC_PCG!$I:$I,0)),"Non trouve — ajouter dans la table"))</f>
        <v/>
      </c>
      <c r="H95" s="148" t="str">
        <f t="shared" si="10"/>
        <v/>
      </c>
      <c r="I95" s="148" t="str">
        <f t="shared" si="11"/>
        <v/>
      </c>
      <c r="J95" s="131"/>
      <c r="K95" s="143" t="str">
        <f>IF(A95="","",IFERROR(IF(F95="? Non mappe","Compte non trouve - mapper manuellement",IF(AND(ISNUMBER(SEARCH("516",L95)),D95&gt;0),"CAISSE CREDITRICE - anomalie a corriger",IF(IFERROR(INDEX(Table_Complete_CGNC_PCG!$D:$D,MATCH(L95,Table_Complete_CGNC_PCG!$I:$I,0)),"")="?","Retraitement requis - voir table","OK"))),"Erreur"))</f>
        <v/>
      </c>
      <c r="L95" s="141" t="str">
        <f t="shared" si="13"/>
        <v>0</v>
      </c>
      <c r="M95" t="str">
        <f t="shared" si="14"/>
        <v/>
      </c>
      <c r="N95" s="135" t="str">
        <f t="shared" si="12"/>
        <v/>
      </c>
      <c r="O95" s="135" t="str">
        <f t="shared" si="12"/>
        <v/>
      </c>
      <c r="P95" s="135" t="str">
        <f t="shared" si="12"/>
        <v/>
      </c>
      <c r="Q95" s="135" t="str">
        <f t="shared" si="12"/>
        <v/>
      </c>
      <c r="R95" s="135" t="str">
        <f t="shared" si="12"/>
        <v/>
      </c>
      <c r="S95" s="135" t="str">
        <f t="shared" si="12"/>
        <v/>
      </c>
      <c r="T95" s="135" t="str">
        <f t="shared" si="12"/>
        <v/>
      </c>
      <c r="U95" s="135" t="str">
        <f t="shared" si="12"/>
        <v/>
      </c>
    </row>
    <row r="96" spans="1:21" ht="15" hidden="1" customHeight="1" x14ac:dyDescent="0.2">
      <c r="A96" s="165"/>
      <c r="B96" s="156"/>
      <c r="C96" s="157"/>
      <c r="D96" s="157"/>
      <c r="E96" s="131"/>
      <c r="F96" s="153" t="str">
        <f>IF(A96="","",IFERROR(INDEX(Table_Complete_CGNC_PCG!$E:$E,MATCH(L96,Table_Complete_CGNC_PCG!$I:$I,0)),"? Non mappe"))</f>
        <v/>
      </c>
      <c r="G96" s="149" t="str">
        <f>IF(A96="","",IFERROR(INDEX(Table_Complete_CGNC_PCG!$F:$F,MATCH(L96,Table_Complete_CGNC_PCG!$I:$I,0)),"Non trouve — ajouter dans la table"))</f>
        <v/>
      </c>
      <c r="H96" s="148" t="str">
        <f t="shared" si="10"/>
        <v/>
      </c>
      <c r="I96" s="148" t="str">
        <f t="shared" si="11"/>
        <v/>
      </c>
      <c r="J96" s="131"/>
      <c r="K96" s="143" t="str">
        <f>IF(A96="","",IFERROR(IF(F96="? Non mappe","Compte non trouve - mapper manuellement",IF(AND(ISNUMBER(SEARCH("516",L96)),D96&gt;0),"CAISSE CREDITRICE - anomalie a corriger",IF(IFERROR(INDEX(Table_Complete_CGNC_PCG!$D:$D,MATCH(L96,Table_Complete_CGNC_PCG!$I:$I,0)),"")="?","Retraitement requis - voir table","OK"))),"Erreur"))</f>
        <v/>
      </c>
      <c r="L96" s="141" t="str">
        <f t="shared" si="13"/>
        <v>0</v>
      </c>
      <c r="M96" t="str">
        <f t="shared" si="14"/>
        <v/>
      </c>
      <c r="N96" s="135" t="str">
        <f t="shared" si="12"/>
        <v/>
      </c>
      <c r="O96" s="135" t="str">
        <f t="shared" si="12"/>
        <v/>
      </c>
      <c r="P96" s="135" t="str">
        <f t="shared" si="12"/>
        <v/>
      </c>
      <c r="Q96" s="135" t="str">
        <f t="shared" si="12"/>
        <v/>
      </c>
      <c r="R96" s="135" t="str">
        <f t="shared" si="12"/>
        <v/>
      </c>
      <c r="S96" s="135" t="str">
        <f t="shared" si="12"/>
        <v/>
      </c>
      <c r="T96" s="135" t="str">
        <f t="shared" si="12"/>
        <v/>
      </c>
      <c r="U96" s="135" t="str">
        <f t="shared" si="12"/>
        <v/>
      </c>
    </row>
    <row r="97" spans="1:21" ht="15" hidden="1" customHeight="1" x14ac:dyDescent="0.2">
      <c r="A97" s="163"/>
      <c r="B97" s="154"/>
      <c r="C97" s="155"/>
      <c r="D97" s="155"/>
      <c r="E97" s="131"/>
      <c r="F97" s="146" t="str">
        <f>IF(A97="","",IFERROR(INDEX(Table_Complete_CGNC_PCG!$E:$E,MATCH(L97,Table_Complete_CGNC_PCG!$I:$I,0)),"? Non mappe"))</f>
        <v/>
      </c>
      <c r="G97" s="147" t="str">
        <f>IF(A97="","",IFERROR(INDEX(Table_Complete_CGNC_PCG!$F:$F,MATCH(L97,Table_Complete_CGNC_PCG!$I:$I,0)),"Non trouve — ajouter dans la table"))</f>
        <v/>
      </c>
      <c r="H97" s="148" t="str">
        <f t="shared" si="10"/>
        <v/>
      </c>
      <c r="I97" s="148" t="str">
        <f t="shared" si="11"/>
        <v/>
      </c>
      <c r="J97" s="131"/>
      <c r="K97" s="143" t="str">
        <f>IF(A97="","",IFERROR(IF(F97="? Non mappe","Compte non trouve - mapper manuellement",IF(AND(ISNUMBER(SEARCH("516",L97)),D97&gt;0),"CAISSE CREDITRICE - anomalie a corriger",IF(IFERROR(INDEX(Table_Complete_CGNC_PCG!$D:$D,MATCH(L97,Table_Complete_CGNC_PCG!$I:$I,0)),"")="?","Retraitement requis - voir table","OK"))),"Erreur"))</f>
        <v/>
      </c>
      <c r="L97" s="141" t="str">
        <f t="shared" si="13"/>
        <v>0</v>
      </c>
      <c r="M97" t="str">
        <f t="shared" si="14"/>
        <v/>
      </c>
      <c r="N97" s="135" t="str">
        <f t="shared" si="12"/>
        <v/>
      </c>
      <c r="O97" s="135" t="str">
        <f t="shared" si="12"/>
        <v/>
      </c>
      <c r="P97" s="135" t="str">
        <f t="shared" si="12"/>
        <v/>
      </c>
      <c r="Q97" s="135" t="str">
        <f t="shared" si="12"/>
        <v/>
      </c>
      <c r="R97" s="135" t="str">
        <f t="shared" si="12"/>
        <v/>
      </c>
      <c r="S97" s="135" t="str">
        <f t="shared" si="12"/>
        <v/>
      </c>
      <c r="T97" s="135" t="str">
        <f t="shared" si="12"/>
        <v/>
      </c>
      <c r="U97" s="135" t="str">
        <f t="shared" si="12"/>
        <v/>
      </c>
    </row>
    <row r="98" spans="1:21" ht="15" hidden="1" customHeight="1" x14ac:dyDescent="0.2">
      <c r="A98" s="165"/>
      <c r="B98" s="156"/>
      <c r="C98" s="157"/>
      <c r="D98" s="157"/>
      <c r="E98" s="131"/>
      <c r="F98" s="153" t="str">
        <f>IF(A98="","",IFERROR(INDEX(Table_Complete_CGNC_PCG!$E:$E,MATCH(L98,Table_Complete_CGNC_PCG!$I:$I,0)),"? Non mappe"))</f>
        <v/>
      </c>
      <c r="G98" s="149" t="str">
        <f>IF(A98="","",IFERROR(INDEX(Table_Complete_CGNC_PCG!$F:$F,MATCH(L98,Table_Complete_CGNC_PCG!$I:$I,0)),"Non trouve — ajouter dans la table"))</f>
        <v/>
      </c>
      <c r="H98" s="148" t="str">
        <f t="shared" si="10"/>
        <v/>
      </c>
      <c r="I98" s="148" t="str">
        <f t="shared" si="11"/>
        <v/>
      </c>
      <c r="J98" s="131"/>
      <c r="K98" s="143" t="str">
        <f>IF(A98="","",IFERROR(IF(F98="? Non mappe","Compte non trouve - mapper manuellement",IF(AND(ISNUMBER(SEARCH("516",L98)),D98&gt;0),"CAISSE CREDITRICE - anomalie a corriger",IF(IFERROR(INDEX(Table_Complete_CGNC_PCG!$D:$D,MATCH(L98,Table_Complete_CGNC_PCG!$I:$I,0)),"")="?","Retraitement requis - voir table","OK"))),"Erreur"))</f>
        <v/>
      </c>
      <c r="L98" s="141" t="str">
        <f t="shared" si="13"/>
        <v>0</v>
      </c>
      <c r="M98" t="str">
        <f t="shared" si="14"/>
        <v/>
      </c>
      <c r="N98" s="135" t="str">
        <f t="shared" si="12"/>
        <v/>
      </c>
      <c r="O98" s="135" t="str">
        <f t="shared" si="12"/>
        <v/>
      </c>
      <c r="P98" s="135" t="str">
        <f t="shared" si="12"/>
        <v/>
      </c>
      <c r="Q98" s="135" t="str">
        <f t="shared" si="12"/>
        <v/>
      </c>
      <c r="R98" s="135" t="str">
        <f t="shared" si="12"/>
        <v/>
      </c>
      <c r="S98" s="135" t="str">
        <f t="shared" si="12"/>
        <v/>
      </c>
      <c r="T98" s="135" t="str">
        <f t="shared" si="12"/>
        <v/>
      </c>
      <c r="U98" s="135" t="str">
        <f t="shared" si="12"/>
        <v/>
      </c>
    </row>
    <row r="99" spans="1:21" ht="15" hidden="1" customHeight="1" x14ac:dyDescent="0.2">
      <c r="A99" s="163"/>
      <c r="B99" s="154"/>
      <c r="C99" s="155"/>
      <c r="D99" s="155"/>
      <c r="E99" s="131"/>
      <c r="F99" s="146" t="str">
        <f>IF(A99="","",IFERROR(INDEX(Table_Complete_CGNC_PCG!$E:$E,MATCH(L99,Table_Complete_CGNC_PCG!$I:$I,0)),"? Non mappe"))</f>
        <v/>
      </c>
      <c r="G99" s="147" t="str">
        <f>IF(A99="","",IFERROR(INDEX(Table_Complete_CGNC_PCG!$F:$F,MATCH(L99,Table_Complete_CGNC_PCG!$I:$I,0)),"Non trouve — ajouter dans la table"))</f>
        <v/>
      </c>
      <c r="H99" s="148" t="str">
        <f t="shared" si="10"/>
        <v/>
      </c>
      <c r="I99" s="148" t="str">
        <f t="shared" si="11"/>
        <v/>
      </c>
      <c r="J99" s="131"/>
      <c r="K99" s="143" t="str">
        <f>IF(A99="","",IFERROR(IF(F99="? Non mappe","Compte non trouve - mapper manuellement",IF(AND(ISNUMBER(SEARCH("516",L99)),D99&gt;0),"CAISSE CREDITRICE - anomalie a corriger",IF(IFERROR(INDEX(Table_Complete_CGNC_PCG!$D:$D,MATCH(L99,Table_Complete_CGNC_PCG!$I:$I,0)),"")="?","Retraitement requis - voir table","OK"))),"Erreur"))</f>
        <v/>
      </c>
      <c r="L99" s="141" t="str">
        <f t="shared" si="13"/>
        <v>0</v>
      </c>
      <c r="M99" t="str">
        <f t="shared" si="14"/>
        <v/>
      </c>
      <c r="N99" s="135" t="str">
        <f t="shared" si="12"/>
        <v/>
      </c>
      <c r="O99" s="135" t="str">
        <f t="shared" si="12"/>
        <v/>
      </c>
      <c r="P99" s="135" t="str">
        <f t="shared" si="12"/>
        <v/>
      </c>
      <c r="Q99" s="135" t="str">
        <f t="shared" si="12"/>
        <v/>
      </c>
      <c r="R99" s="135" t="str">
        <f t="shared" si="12"/>
        <v/>
      </c>
      <c r="S99" s="135" t="str">
        <f t="shared" si="12"/>
        <v/>
      </c>
      <c r="T99" s="135" t="str">
        <f t="shared" si="12"/>
        <v/>
      </c>
      <c r="U99" s="135" t="str">
        <f t="shared" si="12"/>
        <v/>
      </c>
    </row>
    <row r="100" spans="1:21" ht="15" hidden="1" customHeight="1" x14ac:dyDescent="0.2">
      <c r="A100" s="165"/>
      <c r="B100" s="156"/>
      <c r="C100" s="157"/>
      <c r="D100" s="157"/>
      <c r="E100" s="131"/>
      <c r="F100" s="153" t="str">
        <f>IF(A100="","",IFERROR(INDEX(Table_Complete_CGNC_PCG!$E:$E,MATCH(L100,Table_Complete_CGNC_PCG!$I:$I,0)),"? Non mappe"))</f>
        <v/>
      </c>
      <c r="G100" s="149" t="str">
        <f>IF(A100="","",IFERROR(INDEX(Table_Complete_CGNC_PCG!$F:$F,MATCH(L100,Table_Complete_CGNC_PCG!$I:$I,0)),"Non trouve — ajouter dans la table"))</f>
        <v/>
      </c>
      <c r="H100" s="148" t="str">
        <f t="shared" si="10"/>
        <v/>
      </c>
      <c r="I100" s="148" t="str">
        <f t="shared" si="11"/>
        <v/>
      </c>
      <c r="J100" s="131"/>
      <c r="K100" s="143" t="str">
        <f>IF(A100="","",IFERROR(IF(F100="? Non mappe","Compte non trouve - mapper manuellement",IF(AND(ISNUMBER(SEARCH("516",L100)),D100&gt;0),"CAISSE CREDITRICE - anomalie a corriger",IF(IFERROR(INDEX(Table_Complete_CGNC_PCG!$D:$D,MATCH(L100,Table_Complete_CGNC_PCG!$I:$I,0)),"")="?","Retraitement requis - voir table","OK"))),"Erreur"))</f>
        <v/>
      </c>
      <c r="L100" s="141" t="str">
        <f t="shared" si="13"/>
        <v>0</v>
      </c>
      <c r="M100" t="str">
        <f t="shared" si="14"/>
        <v/>
      </c>
      <c r="N100" s="135" t="str">
        <f t="shared" ref="N100:U115" si="15">IF(M100="","",IF(AND(LEN(M100)&gt;3,RIGHT(M100,1)="0"),LEFT(M100,LEN(M100)-1),M100))</f>
        <v/>
      </c>
      <c r="O100" s="135" t="str">
        <f t="shared" si="15"/>
        <v/>
      </c>
      <c r="P100" s="135" t="str">
        <f t="shared" si="15"/>
        <v/>
      </c>
      <c r="Q100" s="135" t="str">
        <f t="shared" si="15"/>
        <v/>
      </c>
      <c r="R100" s="135" t="str">
        <f t="shared" si="15"/>
        <v/>
      </c>
      <c r="S100" s="135" t="str">
        <f t="shared" si="15"/>
        <v/>
      </c>
      <c r="T100" s="135" t="str">
        <f t="shared" si="15"/>
        <v/>
      </c>
      <c r="U100" s="135" t="str">
        <f t="shared" si="15"/>
        <v/>
      </c>
    </row>
    <row r="101" spans="1:21" ht="15" hidden="1" customHeight="1" x14ac:dyDescent="0.2">
      <c r="A101" s="163"/>
      <c r="B101" s="154"/>
      <c r="C101" s="155"/>
      <c r="D101" s="155"/>
      <c r="E101" s="131"/>
      <c r="F101" s="146" t="str">
        <f>IF(A101="","",IFERROR(INDEX(Table_Complete_CGNC_PCG!$E:$E,MATCH(L101,Table_Complete_CGNC_PCG!$I:$I,0)),"? Non mappe"))</f>
        <v/>
      </c>
      <c r="G101" s="147" t="str">
        <f>IF(A101="","",IFERROR(INDEX(Table_Complete_CGNC_PCG!$F:$F,MATCH(L101,Table_Complete_CGNC_PCG!$I:$I,0)),"Non trouve — ajouter dans la table"))</f>
        <v/>
      </c>
      <c r="H101" s="148" t="str">
        <f t="shared" si="10"/>
        <v/>
      </c>
      <c r="I101" s="148" t="str">
        <f t="shared" si="11"/>
        <v/>
      </c>
      <c r="J101" s="131"/>
      <c r="K101" s="143" t="str">
        <f>IF(A101="","",IFERROR(IF(F101="? Non mappe","Compte non trouve - mapper manuellement",IF(AND(ISNUMBER(SEARCH("516",L101)),D101&gt;0),"CAISSE CREDITRICE - anomalie a corriger",IF(IFERROR(INDEX(Table_Complete_CGNC_PCG!$D:$D,MATCH(L101,Table_Complete_CGNC_PCG!$I:$I,0)),"")="?","Retraitement requis - voir table","OK"))),"Erreur"))</f>
        <v/>
      </c>
      <c r="L101" s="141" t="str">
        <f t="shared" si="13"/>
        <v>0</v>
      </c>
      <c r="M101" t="str">
        <f t="shared" si="14"/>
        <v/>
      </c>
      <c r="N101" s="135" t="str">
        <f t="shared" si="15"/>
        <v/>
      </c>
      <c r="O101" s="135" t="str">
        <f t="shared" si="15"/>
        <v/>
      </c>
      <c r="P101" s="135" t="str">
        <f t="shared" si="15"/>
        <v/>
      </c>
      <c r="Q101" s="135" t="str">
        <f t="shared" si="15"/>
        <v/>
      </c>
      <c r="R101" s="135" t="str">
        <f t="shared" si="15"/>
        <v/>
      </c>
      <c r="S101" s="135" t="str">
        <f t="shared" si="15"/>
        <v/>
      </c>
      <c r="T101" s="135" t="str">
        <f t="shared" si="15"/>
        <v/>
      </c>
      <c r="U101" s="135" t="str">
        <f t="shared" si="15"/>
        <v/>
      </c>
    </row>
    <row r="102" spans="1:21" ht="15" hidden="1" customHeight="1" x14ac:dyDescent="0.2">
      <c r="A102" s="165"/>
      <c r="B102" s="156"/>
      <c r="C102" s="157"/>
      <c r="D102" s="157"/>
      <c r="E102" s="131"/>
      <c r="F102" s="153" t="str">
        <f>IF(A102="","",IFERROR(INDEX(Table_Complete_CGNC_PCG!$E:$E,MATCH(L102,Table_Complete_CGNC_PCG!$I:$I,0)),"? Non mappe"))</f>
        <v/>
      </c>
      <c r="G102" s="149" t="str">
        <f>IF(A102="","",IFERROR(INDEX(Table_Complete_CGNC_PCG!$F:$F,MATCH(L102,Table_Complete_CGNC_PCG!$I:$I,0)),"Non trouve — ajouter dans la table"))</f>
        <v/>
      </c>
      <c r="H102" s="148" t="str">
        <f t="shared" si="10"/>
        <v/>
      </c>
      <c r="I102" s="148" t="str">
        <f t="shared" si="11"/>
        <v/>
      </c>
      <c r="J102" s="131"/>
      <c r="K102" s="143" t="str">
        <f>IF(A102="","",IFERROR(IF(F102="? Non mappe","Compte non trouve - mapper manuellement",IF(AND(ISNUMBER(SEARCH("516",L102)),D102&gt;0),"CAISSE CREDITRICE - anomalie a corriger",IF(IFERROR(INDEX(Table_Complete_CGNC_PCG!$D:$D,MATCH(L102,Table_Complete_CGNC_PCG!$I:$I,0)),"")="?","Retraitement requis - voir table","OK"))),"Erreur"))</f>
        <v/>
      </c>
      <c r="L102" s="141" t="str">
        <f t="shared" si="13"/>
        <v>0</v>
      </c>
      <c r="M102" t="str">
        <f t="shared" si="14"/>
        <v/>
      </c>
      <c r="N102" s="135" t="str">
        <f t="shared" si="15"/>
        <v/>
      </c>
      <c r="O102" s="135" t="str">
        <f t="shared" si="15"/>
        <v/>
      </c>
      <c r="P102" s="135" t="str">
        <f t="shared" si="15"/>
        <v/>
      </c>
      <c r="Q102" s="135" t="str">
        <f t="shared" si="15"/>
        <v/>
      </c>
      <c r="R102" s="135" t="str">
        <f t="shared" si="15"/>
        <v/>
      </c>
      <c r="S102" s="135" t="str">
        <f t="shared" si="15"/>
        <v/>
      </c>
      <c r="T102" s="135" t="str">
        <f t="shared" si="15"/>
        <v/>
      </c>
      <c r="U102" s="135" t="str">
        <f t="shared" si="15"/>
        <v/>
      </c>
    </row>
    <row r="103" spans="1:21" ht="15" hidden="1" customHeight="1" x14ac:dyDescent="0.2">
      <c r="A103" s="163"/>
      <c r="B103" s="154"/>
      <c r="C103" s="155"/>
      <c r="D103" s="155"/>
      <c r="E103" s="131"/>
      <c r="F103" s="146" t="str">
        <f>IF(A103="","",IFERROR(INDEX(Table_Complete_CGNC_PCG!$E:$E,MATCH(L103,Table_Complete_CGNC_PCG!$I:$I,0)),"? Non mappe"))</f>
        <v/>
      </c>
      <c r="G103" s="147" t="str">
        <f>IF(A103="","",IFERROR(INDEX(Table_Complete_CGNC_PCG!$F:$F,MATCH(L103,Table_Complete_CGNC_PCG!$I:$I,0)),"Non trouve — ajouter dans la table"))</f>
        <v/>
      </c>
      <c r="H103" s="148" t="str">
        <f t="shared" si="10"/>
        <v/>
      </c>
      <c r="I103" s="148" t="str">
        <f t="shared" si="11"/>
        <v/>
      </c>
      <c r="J103" s="131"/>
      <c r="K103" s="143" t="str">
        <f>IF(A103="","",IFERROR(IF(F103="? Non mappe","Compte non trouve - mapper manuellement",IF(AND(ISNUMBER(SEARCH("516",L103)),D103&gt;0),"CAISSE CREDITRICE - anomalie a corriger",IF(IFERROR(INDEX(Table_Complete_CGNC_PCG!$D:$D,MATCH(L103,Table_Complete_CGNC_PCG!$I:$I,0)),"")="?","Retraitement requis - voir table","OK"))),"Erreur"))</f>
        <v/>
      </c>
      <c r="L103" s="141" t="str">
        <f t="shared" si="13"/>
        <v>0</v>
      </c>
      <c r="M103" t="str">
        <f t="shared" si="14"/>
        <v/>
      </c>
      <c r="N103" s="135" t="str">
        <f t="shared" si="15"/>
        <v/>
      </c>
      <c r="O103" s="135" t="str">
        <f t="shared" si="15"/>
        <v/>
      </c>
      <c r="P103" s="135" t="str">
        <f t="shared" si="15"/>
        <v/>
      </c>
      <c r="Q103" s="135" t="str">
        <f t="shared" si="15"/>
        <v/>
      </c>
      <c r="R103" s="135" t="str">
        <f t="shared" si="15"/>
        <v/>
      </c>
      <c r="S103" s="135" t="str">
        <f t="shared" si="15"/>
        <v/>
      </c>
      <c r="T103" s="135" t="str">
        <f t="shared" si="15"/>
        <v/>
      </c>
      <c r="U103" s="135" t="str">
        <f t="shared" si="15"/>
        <v/>
      </c>
    </row>
    <row r="104" spans="1:21" ht="15" hidden="1" customHeight="1" x14ac:dyDescent="0.2">
      <c r="A104" s="165"/>
      <c r="B104" s="156"/>
      <c r="C104" s="157"/>
      <c r="D104" s="157"/>
      <c r="E104" s="131"/>
      <c r="F104" s="153" t="str">
        <f>IF(A104="","",IFERROR(INDEX(Table_Complete_CGNC_PCG!$E:$E,MATCH(L104,Table_Complete_CGNC_PCG!$I:$I,0)),"? Non mappe"))</f>
        <v/>
      </c>
      <c r="G104" s="149" t="str">
        <f>IF(A104="","",IFERROR(INDEX(Table_Complete_CGNC_PCG!$F:$F,MATCH(L104,Table_Complete_CGNC_PCG!$I:$I,0)),"Non trouve — ajouter dans la table"))</f>
        <v/>
      </c>
      <c r="H104" s="148" t="str">
        <f t="shared" si="10"/>
        <v/>
      </c>
      <c r="I104" s="148" t="str">
        <f t="shared" si="11"/>
        <v/>
      </c>
      <c r="J104" s="131"/>
      <c r="K104" s="143" t="str">
        <f>IF(A104="","",IFERROR(IF(F104="? Non mappe","Compte non trouve - mapper manuellement",IF(AND(ISNUMBER(SEARCH("516",L104)),D104&gt;0),"CAISSE CREDITRICE - anomalie a corriger",IF(IFERROR(INDEX(Table_Complete_CGNC_PCG!$D:$D,MATCH(L104,Table_Complete_CGNC_PCG!$I:$I,0)),"")="?","Retraitement requis - voir table","OK"))),"Erreur"))</f>
        <v/>
      </c>
      <c r="L104" s="141" t="str">
        <f t="shared" si="13"/>
        <v>0</v>
      </c>
      <c r="M104" t="str">
        <f t="shared" si="14"/>
        <v/>
      </c>
      <c r="N104" s="135" t="str">
        <f t="shared" si="15"/>
        <v/>
      </c>
      <c r="O104" s="135" t="str">
        <f t="shared" si="15"/>
        <v/>
      </c>
      <c r="P104" s="135" t="str">
        <f t="shared" si="15"/>
        <v/>
      </c>
      <c r="Q104" s="135" t="str">
        <f t="shared" si="15"/>
        <v/>
      </c>
      <c r="R104" s="135" t="str">
        <f t="shared" si="15"/>
        <v/>
      </c>
      <c r="S104" s="135" t="str">
        <f t="shared" si="15"/>
        <v/>
      </c>
      <c r="T104" s="135" t="str">
        <f t="shared" si="15"/>
        <v/>
      </c>
      <c r="U104" s="135" t="str">
        <f t="shared" si="15"/>
        <v/>
      </c>
    </row>
    <row r="105" spans="1:21" ht="15" hidden="1" customHeight="1" x14ac:dyDescent="0.2">
      <c r="A105" s="163"/>
      <c r="B105" s="154"/>
      <c r="C105" s="155"/>
      <c r="D105" s="155"/>
      <c r="E105" s="131"/>
      <c r="F105" s="146" t="str">
        <f>IF(A105="","",IFERROR(INDEX(Table_Complete_CGNC_PCG!$E:$E,MATCH(L105,Table_Complete_CGNC_PCG!$I:$I,0)),"? Non mappe"))</f>
        <v/>
      </c>
      <c r="G105" s="147" t="str">
        <f>IF(A105="","",IFERROR(INDEX(Table_Complete_CGNC_PCG!$F:$F,MATCH(L105,Table_Complete_CGNC_PCG!$I:$I,0)),"Non trouve — ajouter dans la table"))</f>
        <v/>
      </c>
      <c r="H105" s="148" t="str">
        <f t="shared" si="10"/>
        <v/>
      </c>
      <c r="I105" s="148" t="str">
        <f t="shared" si="11"/>
        <v/>
      </c>
      <c r="J105" s="131"/>
      <c r="K105" s="143" t="str">
        <f>IF(A105="","",IFERROR(IF(F105="? Non mappe","Compte non trouve - mapper manuellement",IF(AND(ISNUMBER(SEARCH("516",L105)),D105&gt;0),"CAISSE CREDITRICE - anomalie a corriger",IF(IFERROR(INDEX(Table_Complete_CGNC_PCG!$D:$D,MATCH(L105,Table_Complete_CGNC_PCG!$I:$I,0)),"")="?","Retraitement requis - voir table","OK"))),"Erreur"))</f>
        <v/>
      </c>
      <c r="L105" s="141" t="str">
        <f t="shared" si="13"/>
        <v>0</v>
      </c>
      <c r="M105" t="str">
        <f t="shared" si="14"/>
        <v/>
      </c>
      <c r="N105" s="135" t="str">
        <f t="shared" si="15"/>
        <v/>
      </c>
      <c r="O105" s="135" t="str">
        <f t="shared" si="15"/>
        <v/>
      </c>
      <c r="P105" s="135" t="str">
        <f t="shared" si="15"/>
        <v/>
      </c>
      <c r="Q105" s="135" t="str">
        <f t="shared" si="15"/>
        <v/>
      </c>
      <c r="R105" s="135" t="str">
        <f t="shared" si="15"/>
        <v/>
      </c>
      <c r="S105" s="135" t="str">
        <f t="shared" si="15"/>
        <v/>
      </c>
      <c r="T105" s="135" t="str">
        <f t="shared" si="15"/>
        <v/>
      </c>
      <c r="U105" s="135" t="str">
        <f t="shared" si="15"/>
        <v/>
      </c>
    </row>
    <row r="106" spans="1:21" ht="15" hidden="1" customHeight="1" x14ac:dyDescent="0.2">
      <c r="A106" s="165"/>
      <c r="B106" s="156"/>
      <c r="C106" s="157"/>
      <c r="D106" s="157"/>
      <c r="E106" s="131"/>
      <c r="F106" s="153" t="str">
        <f>IF(A106="","",IFERROR(INDEX(Table_Complete_CGNC_PCG!$E:$E,MATCH(L106,Table_Complete_CGNC_PCG!$I:$I,0)),"? Non mappe"))</f>
        <v/>
      </c>
      <c r="G106" s="149" t="str">
        <f>IF(A106="","",IFERROR(INDEX(Table_Complete_CGNC_PCG!$F:$F,MATCH(L106,Table_Complete_CGNC_PCG!$I:$I,0)),"Non trouve — ajouter dans la table"))</f>
        <v/>
      </c>
      <c r="H106" s="148" t="str">
        <f t="shared" si="10"/>
        <v/>
      </c>
      <c r="I106" s="148" t="str">
        <f t="shared" si="11"/>
        <v/>
      </c>
      <c r="J106" s="131"/>
      <c r="K106" s="143" t="str">
        <f>IF(A106="","",IFERROR(IF(F106="? Non mappe","Compte non trouve - mapper manuellement",IF(AND(ISNUMBER(SEARCH("516",L106)),D106&gt;0),"CAISSE CREDITRICE - anomalie a corriger",IF(IFERROR(INDEX(Table_Complete_CGNC_PCG!$D:$D,MATCH(L106,Table_Complete_CGNC_PCG!$I:$I,0)),"")="?","Retraitement requis - voir table","OK"))),"Erreur"))</f>
        <v/>
      </c>
      <c r="L106" s="141" t="str">
        <f t="shared" si="13"/>
        <v>0</v>
      </c>
      <c r="M106" t="str">
        <f t="shared" si="14"/>
        <v/>
      </c>
      <c r="N106" s="135" t="str">
        <f t="shared" si="15"/>
        <v/>
      </c>
      <c r="O106" s="135" t="str">
        <f t="shared" si="15"/>
        <v/>
      </c>
      <c r="P106" s="135" t="str">
        <f t="shared" si="15"/>
        <v/>
      </c>
      <c r="Q106" s="135" t="str">
        <f t="shared" si="15"/>
        <v/>
      </c>
      <c r="R106" s="135" t="str">
        <f t="shared" si="15"/>
        <v/>
      </c>
      <c r="S106" s="135" t="str">
        <f t="shared" si="15"/>
        <v/>
      </c>
      <c r="T106" s="135" t="str">
        <f t="shared" si="15"/>
        <v/>
      </c>
      <c r="U106" s="135" t="str">
        <f t="shared" si="15"/>
        <v/>
      </c>
    </row>
    <row r="107" spans="1:21" ht="15" hidden="1" customHeight="1" x14ac:dyDescent="0.2">
      <c r="A107" s="163"/>
      <c r="B107" s="154"/>
      <c r="C107" s="155"/>
      <c r="D107" s="155"/>
      <c r="E107" s="131"/>
      <c r="F107" s="146" t="str">
        <f>IF(A107="","",IFERROR(INDEX(Table_Complete_CGNC_PCG!$E:$E,MATCH(L107,Table_Complete_CGNC_PCG!$I:$I,0)),"? Non mappe"))</f>
        <v/>
      </c>
      <c r="G107" s="147" t="str">
        <f>IF(A107="","",IFERROR(INDEX(Table_Complete_CGNC_PCG!$F:$F,MATCH(L107,Table_Complete_CGNC_PCG!$I:$I,0)),"Non trouve — ajouter dans la table"))</f>
        <v/>
      </c>
      <c r="H107" s="148" t="str">
        <f t="shared" si="10"/>
        <v/>
      </c>
      <c r="I107" s="148" t="str">
        <f t="shared" si="11"/>
        <v/>
      </c>
      <c r="J107" s="131"/>
      <c r="K107" s="143" t="str">
        <f>IF(A107="","",IFERROR(IF(F107="? Non mappe","Compte non trouve - mapper manuellement",IF(AND(ISNUMBER(SEARCH("516",L107)),D107&gt;0),"CAISSE CREDITRICE - anomalie a corriger",IF(IFERROR(INDEX(Table_Complete_CGNC_PCG!$D:$D,MATCH(L107,Table_Complete_CGNC_PCG!$I:$I,0)),"")="?","Retraitement requis - voir table","OK"))),"Erreur"))</f>
        <v/>
      </c>
      <c r="L107" s="141" t="str">
        <f t="shared" si="13"/>
        <v>0</v>
      </c>
      <c r="M107" t="str">
        <f t="shared" si="14"/>
        <v/>
      </c>
      <c r="N107" s="135" t="str">
        <f t="shared" si="15"/>
        <v/>
      </c>
      <c r="O107" s="135" t="str">
        <f t="shared" si="15"/>
        <v/>
      </c>
      <c r="P107" s="135" t="str">
        <f t="shared" si="15"/>
        <v/>
      </c>
      <c r="Q107" s="135" t="str">
        <f t="shared" si="15"/>
        <v/>
      </c>
      <c r="R107" s="135" t="str">
        <f t="shared" si="15"/>
        <v/>
      </c>
      <c r="S107" s="135" t="str">
        <f t="shared" si="15"/>
        <v/>
      </c>
      <c r="T107" s="135" t="str">
        <f t="shared" si="15"/>
        <v/>
      </c>
      <c r="U107" s="135" t="str">
        <f t="shared" si="15"/>
        <v/>
      </c>
    </row>
    <row r="108" spans="1:21" ht="15" hidden="1" customHeight="1" x14ac:dyDescent="0.2">
      <c r="A108" s="165"/>
      <c r="B108" s="156"/>
      <c r="C108" s="157"/>
      <c r="D108" s="157"/>
      <c r="E108" s="131"/>
      <c r="F108" s="153" t="str">
        <f>IF(A108="","",IFERROR(INDEX(Table_Complete_CGNC_PCG!$E:$E,MATCH(L108,Table_Complete_CGNC_PCG!$I:$I,0)),"? Non mappe"))</f>
        <v/>
      </c>
      <c r="G108" s="149" t="str">
        <f>IF(A108="","",IFERROR(INDEX(Table_Complete_CGNC_PCG!$F:$F,MATCH(L108,Table_Complete_CGNC_PCG!$I:$I,0)),"Non trouve — ajouter dans la table"))</f>
        <v/>
      </c>
      <c r="H108" s="148" t="str">
        <f t="shared" si="10"/>
        <v/>
      </c>
      <c r="I108" s="148" t="str">
        <f t="shared" si="11"/>
        <v/>
      </c>
      <c r="J108" s="131"/>
      <c r="K108" s="143" t="str">
        <f>IF(A108="","",IFERROR(IF(F108="? Non mappe","Compte non trouve - mapper manuellement",IF(AND(ISNUMBER(SEARCH("516",L108)),D108&gt;0),"CAISSE CREDITRICE - anomalie a corriger",IF(IFERROR(INDEX(Table_Complete_CGNC_PCG!$D:$D,MATCH(L108,Table_Complete_CGNC_PCG!$I:$I,0)),"")="?","Retraitement requis - voir table","OK"))),"Erreur"))</f>
        <v/>
      </c>
      <c r="L108" s="141" t="str">
        <f t="shared" si="13"/>
        <v>0</v>
      </c>
      <c r="M108" t="str">
        <f t="shared" si="14"/>
        <v/>
      </c>
      <c r="N108" s="135" t="str">
        <f t="shared" si="15"/>
        <v/>
      </c>
      <c r="O108" s="135" t="str">
        <f t="shared" si="15"/>
        <v/>
      </c>
      <c r="P108" s="135" t="str">
        <f t="shared" si="15"/>
        <v/>
      </c>
      <c r="Q108" s="135" t="str">
        <f t="shared" si="15"/>
        <v/>
      </c>
      <c r="R108" s="135" t="str">
        <f t="shared" si="15"/>
        <v/>
      </c>
      <c r="S108" s="135" t="str">
        <f t="shared" si="15"/>
        <v/>
      </c>
      <c r="T108" s="135" t="str">
        <f t="shared" si="15"/>
        <v/>
      </c>
      <c r="U108" s="135" t="str">
        <f t="shared" si="15"/>
        <v/>
      </c>
    </row>
    <row r="109" spans="1:21" ht="15" hidden="1" customHeight="1" x14ac:dyDescent="0.2">
      <c r="A109" s="163"/>
      <c r="B109" s="154"/>
      <c r="C109" s="155"/>
      <c r="D109" s="155"/>
      <c r="E109" s="131"/>
      <c r="F109" s="146" t="str">
        <f>IF(A109="","",IFERROR(INDEX(Table_Complete_CGNC_PCG!$E:$E,MATCH(L109,Table_Complete_CGNC_PCG!$I:$I,0)),"? Non mappe"))</f>
        <v/>
      </c>
      <c r="G109" s="147" t="str">
        <f>IF(A109="","",IFERROR(INDEX(Table_Complete_CGNC_PCG!$F:$F,MATCH(L109,Table_Complete_CGNC_PCG!$I:$I,0)),"Non trouve — ajouter dans la table"))</f>
        <v/>
      </c>
      <c r="H109" s="148" t="str">
        <f t="shared" si="10"/>
        <v/>
      </c>
      <c r="I109" s="148" t="str">
        <f t="shared" si="11"/>
        <v/>
      </c>
      <c r="J109" s="131"/>
      <c r="K109" s="143" t="str">
        <f>IF(A109="","",IFERROR(IF(F109="? Non mappe","Compte non trouve - mapper manuellement",IF(AND(ISNUMBER(SEARCH("516",L109)),D109&gt;0),"CAISSE CREDITRICE - anomalie a corriger",IF(IFERROR(INDEX(Table_Complete_CGNC_PCG!$D:$D,MATCH(L109,Table_Complete_CGNC_PCG!$I:$I,0)),"")="?","Retraitement requis - voir table","OK"))),"Erreur"))</f>
        <v/>
      </c>
      <c r="L109" s="141" t="str">
        <f t="shared" si="13"/>
        <v>0</v>
      </c>
      <c r="M109" t="str">
        <f t="shared" si="14"/>
        <v/>
      </c>
      <c r="N109" s="135" t="str">
        <f t="shared" si="15"/>
        <v/>
      </c>
      <c r="O109" s="135" t="str">
        <f t="shared" si="15"/>
        <v/>
      </c>
      <c r="P109" s="135" t="str">
        <f t="shared" si="15"/>
        <v/>
      </c>
      <c r="Q109" s="135" t="str">
        <f t="shared" si="15"/>
        <v/>
      </c>
      <c r="R109" s="135" t="str">
        <f t="shared" si="15"/>
        <v/>
      </c>
      <c r="S109" s="135" t="str">
        <f t="shared" si="15"/>
        <v/>
      </c>
      <c r="T109" s="135" t="str">
        <f t="shared" si="15"/>
        <v/>
      </c>
      <c r="U109" s="135" t="str">
        <f t="shared" si="15"/>
        <v/>
      </c>
    </row>
    <row r="110" spans="1:21" ht="15" hidden="1" customHeight="1" x14ac:dyDescent="0.2">
      <c r="A110" s="165"/>
      <c r="B110" s="156"/>
      <c r="C110" s="157"/>
      <c r="D110" s="157"/>
      <c r="E110" s="131"/>
      <c r="F110" s="153" t="str">
        <f>IF(A110="","",IFERROR(INDEX(Table_Complete_CGNC_PCG!$E:$E,MATCH(L110,Table_Complete_CGNC_PCG!$I:$I,0)),"? Non mappe"))</f>
        <v/>
      </c>
      <c r="G110" s="149" t="str">
        <f>IF(A110="","",IFERROR(INDEX(Table_Complete_CGNC_PCG!$F:$F,MATCH(L110,Table_Complete_CGNC_PCG!$I:$I,0)),"Non trouve — ajouter dans la table"))</f>
        <v/>
      </c>
      <c r="H110" s="148" t="str">
        <f t="shared" si="10"/>
        <v/>
      </c>
      <c r="I110" s="148" t="str">
        <f t="shared" si="11"/>
        <v/>
      </c>
      <c r="J110" s="131"/>
      <c r="K110" s="143" t="str">
        <f>IF(A110="","",IFERROR(IF(F110="? Non mappe","Compte non trouve - mapper manuellement",IF(AND(ISNUMBER(SEARCH("516",L110)),D110&gt;0),"CAISSE CREDITRICE - anomalie a corriger",IF(IFERROR(INDEX(Table_Complete_CGNC_PCG!$D:$D,MATCH(L110,Table_Complete_CGNC_PCG!$I:$I,0)),"")="?","Retraitement requis - voir table","OK"))),"Erreur"))</f>
        <v/>
      </c>
      <c r="L110" s="141" t="str">
        <f t="shared" si="13"/>
        <v>0</v>
      </c>
      <c r="M110" t="str">
        <f t="shared" si="14"/>
        <v/>
      </c>
      <c r="N110" s="135" t="str">
        <f t="shared" si="15"/>
        <v/>
      </c>
      <c r="O110" s="135" t="str">
        <f t="shared" si="15"/>
        <v/>
      </c>
      <c r="P110" s="135" t="str">
        <f t="shared" si="15"/>
        <v/>
      </c>
      <c r="Q110" s="135" t="str">
        <f t="shared" si="15"/>
        <v/>
      </c>
      <c r="R110" s="135" t="str">
        <f t="shared" si="15"/>
        <v/>
      </c>
      <c r="S110" s="135" t="str">
        <f t="shared" si="15"/>
        <v/>
      </c>
      <c r="T110" s="135" t="str">
        <f t="shared" si="15"/>
        <v/>
      </c>
      <c r="U110" s="135" t="str">
        <f t="shared" si="15"/>
        <v/>
      </c>
    </row>
    <row r="111" spans="1:21" ht="15" hidden="1" customHeight="1" x14ac:dyDescent="0.2">
      <c r="A111" s="163"/>
      <c r="B111" s="154"/>
      <c r="C111" s="155"/>
      <c r="D111" s="155"/>
      <c r="E111" s="131"/>
      <c r="F111" s="146" t="str">
        <f>IF(A111="","",IFERROR(INDEX(Table_Complete_CGNC_PCG!$E:$E,MATCH(L111,Table_Complete_CGNC_PCG!$I:$I,0)),"? Non mappe"))</f>
        <v/>
      </c>
      <c r="G111" s="147" t="str">
        <f>IF(A111="","",IFERROR(INDEX(Table_Complete_CGNC_PCG!$F:$F,MATCH(L111,Table_Complete_CGNC_PCG!$I:$I,0)),"Non trouve — ajouter dans la table"))</f>
        <v/>
      </c>
      <c r="H111" s="148" t="str">
        <f t="shared" si="10"/>
        <v/>
      </c>
      <c r="I111" s="148" t="str">
        <f t="shared" si="11"/>
        <v/>
      </c>
      <c r="J111" s="131"/>
      <c r="K111" s="143" t="str">
        <f>IF(A111="","",IFERROR(IF(F111="? Non mappe","Compte non trouve - mapper manuellement",IF(AND(ISNUMBER(SEARCH("516",L111)),D111&gt;0),"CAISSE CREDITRICE - anomalie a corriger",IF(IFERROR(INDEX(Table_Complete_CGNC_PCG!$D:$D,MATCH(L111,Table_Complete_CGNC_PCG!$I:$I,0)),"")="?","Retraitement requis - voir table","OK"))),"Erreur"))</f>
        <v/>
      </c>
      <c r="L111" s="141" t="str">
        <f t="shared" si="13"/>
        <v>0</v>
      </c>
      <c r="M111" t="str">
        <f t="shared" si="14"/>
        <v/>
      </c>
      <c r="N111" s="135" t="str">
        <f t="shared" si="15"/>
        <v/>
      </c>
      <c r="O111" s="135" t="str">
        <f t="shared" si="15"/>
        <v/>
      </c>
      <c r="P111" s="135" t="str">
        <f t="shared" si="15"/>
        <v/>
      </c>
      <c r="Q111" s="135" t="str">
        <f t="shared" si="15"/>
        <v/>
      </c>
      <c r="R111" s="135" t="str">
        <f t="shared" si="15"/>
        <v/>
      </c>
      <c r="S111" s="135" t="str">
        <f t="shared" si="15"/>
        <v/>
      </c>
      <c r="T111" s="135" t="str">
        <f t="shared" si="15"/>
        <v/>
      </c>
      <c r="U111" s="135" t="str">
        <f t="shared" si="15"/>
        <v/>
      </c>
    </row>
    <row r="112" spans="1:21" ht="15" hidden="1" customHeight="1" x14ac:dyDescent="0.2">
      <c r="A112" s="165"/>
      <c r="B112" s="156"/>
      <c r="C112" s="157"/>
      <c r="D112" s="157"/>
      <c r="E112" s="131"/>
      <c r="F112" s="153" t="str">
        <f>IF(A112="","",IFERROR(INDEX(Table_Complete_CGNC_PCG!$E:$E,MATCH(L112,Table_Complete_CGNC_PCG!$I:$I,0)),"? Non mappe"))</f>
        <v/>
      </c>
      <c r="G112" s="149" t="str">
        <f>IF(A112="","",IFERROR(INDEX(Table_Complete_CGNC_PCG!$F:$F,MATCH(L112,Table_Complete_CGNC_PCG!$I:$I,0)),"Non trouve — ajouter dans la table"))</f>
        <v/>
      </c>
      <c r="H112" s="148" t="str">
        <f t="shared" si="10"/>
        <v/>
      </c>
      <c r="I112" s="148" t="str">
        <f t="shared" si="11"/>
        <v/>
      </c>
      <c r="J112" s="131"/>
      <c r="K112" s="143" t="str">
        <f>IF(A112="","",IFERROR(IF(F112="? Non mappe","Compte non trouve - mapper manuellement",IF(AND(ISNUMBER(SEARCH("516",L112)),D112&gt;0),"CAISSE CREDITRICE - anomalie a corriger",IF(IFERROR(INDEX(Table_Complete_CGNC_PCG!$D:$D,MATCH(L112,Table_Complete_CGNC_PCG!$I:$I,0)),"")="?","Retraitement requis - voir table","OK"))),"Erreur"))</f>
        <v/>
      </c>
      <c r="L112" s="141" t="str">
        <f t="shared" si="13"/>
        <v>0</v>
      </c>
      <c r="M112" t="str">
        <f t="shared" si="14"/>
        <v/>
      </c>
      <c r="N112" s="135" t="str">
        <f t="shared" si="15"/>
        <v/>
      </c>
      <c r="O112" s="135" t="str">
        <f t="shared" si="15"/>
        <v/>
      </c>
      <c r="P112" s="135" t="str">
        <f t="shared" si="15"/>
        <v/>
      </c>
      <c r="Q112" s="135" t="str">
        <f t="shared" si="15"/>
        <v/>
      </c>
      <c r="R112" s="135" t="str">
        <f t="shared" si="15"/>
        <v/>
      </c>
      <c r="S112" s="135" t="str">
        <f t="shared" si="15"/>
        <v/>
      </c>
      <c r="T112" s="135" t="str">
        <f t="shared" si="15"/>
        <v/>
      </c>
      <c r="U112" s="135" t="str">
        <f t="shared" si="15"/>
        <v/>
      </c>
    </row>
    <row r="113" spans="1:21" ht="15" hidden="1" customHeight="1" x14ac:dyDescent="0.2">
      <c r="A113" s="163"/>
      <c r="B113" s="154"/>
      <c r="C113" s="155"/>
      <c r="D113" s="155"/>
      <c r="E113" s="131"/>
      <c r="F113" s="146" t="str">
        <f>IF(A113="","",IFERROR(INDEX(Table_Complete_CGNC_PCG!$E:$E,MATCH(L113,Table_Complete_CGNC_PCG!$I:$I,0)),"? Non mappe"))</f>
        <v/>
      </c>
      <c r="G113" s="147" t="str">
        <f>IF(A113="","",IFERROR(INDEX(Table_Complete_CGNC_PCG!$F:$F,MATCH(L113,Table_Complete_CGNC_PCG!$I:$I,0)),"Non trouve — ajouter dans la table"))</f>
        <v/>
      </c>
      <c r="H113" s="148" t="str">
        <f t="shared" si="10"/>
        <v/>
      </c>
      <c r="I113" s="148" t="str">
        <f t="shared" si="11"/>
        <v/>
      </c>
      <c r="J113" s="131"/>
      <c r="K113" s="143" t="str">
        <f>IF(A113="","",IFERROR(IF(F113="? Non mappe","Compte non trouve - mapper manuellement",IF(AND(ISNUMBER(SEARCH("516",L113)),D113&gt;0),"CAISSE CREDITRICE - anomalie a corriger",IF(IFERROR(INDEX(Table_Complete_CGNC_PCG!$D:$D,MATCH(L113,Table_Complete_CGNC_PCG!$I:$I,0)),"")="?","Retraitement requis - voir table","OK"))),"Erreur"))</f>
        <v/>
      </c>
      <c r="L113" s="141" t="str">
        <f t="shared" si="13"/>
        <v>0</v>
      </c>
      <c r="M113" t="str">
        <f t="shared" si="14"/>
        <v/>
      </c>
      <c r="N113" s="135" t="str">
        <f t="shared" si="15"/>
        <v/>
      </c>
      <c r="O113" s="135" t="str">
        <f t="shared" si="15"/>
        <v/>
      </c>
      <c r="P113" s="135" t="str">
        <f t="shared" si="15"/>
        <v/>
      </c>
      <c r="Q113" s="135" t="str">
        <f t="shared" si="15"/>
        <v/>
      </c>
      <c r="R113" s="135" t="str">
        <f t="shared" si="15"/>
        <v/>
      </c>
      <c r="S113" s="135" t="str">
        <f t="shared" si="15"/>
        <v/>
      </c>
      <c r="T113" s="135" t="str">
        <f t="shared" si="15"/>
        <v/>
      </c>
      <c r="U113" s="135" t="str">
        <f t="shared" si="15"/>
        <v/>
      </c>
    </row>
    <row r="114" spans="1:21" ht="15" hidden="1" customHeight="1" x14ac:dyDescent="0.2">
      <c r="A114" s="165"/>
      <c r="B114" s="156"/>
      <c r="C114" s="157"/>
      <c r="D114" s="157"/>
      <c r="E114" s="131"/>
      <c r="F114" s="153" t="str">
        <f>IF(A114="","",IFERROR(INDEX(Table_Complete_CGNC_PCG!$E:$E,MATCH(L114,Table_Complete_CGNC_PCG!$I:$I,0)),"? Non mappe"))</f>
        <v/>
      </c>
      <c r="G114" s="149" t="str">
        <f>IF(A114="","",IFERROR(INDEX(Table_Complete_CGNC_PCG!$F:$F,MATCH(L114,Table_Complete_CGNC_PCG!$I:$I,0)),"Non trouve — ajouter dans la table"))</f>
        <v/>
      </c>
      <c r="H114" s="148" t="str">
        <f t="shared" si="10"/>
        <v/>
      </c>
      <c r="I114" s="148" t="str">
        <f t="shared" si="11"/>
        <v/>
      </c>
      <c r="J114" s="131"/>
      <c r="K114" s="143" t="str">
        <f>IF(A114="","",IFERROR(IF(F114="? Non mappe","Compte non trouve - mapper manuellement",IF(AND(ISNUMBER(SEARCH("516",L114)),D114&gt;0),"CAISSE CREDITRICE - anomalie a corriger",IF(IFERROR(INDEX(Table_Complete_CGNC_PCG!$D:$D,MATCH(L114,Table_Complete_CGNC_PCG!$I:$I,0)),"")="?","Retraitement requis - voir table","OK"))),"Erreur"))</f>
        <v/>
      </c>
      <c r="L114" s="141" t="str">
        <f t="shared" si="13"/>
        <v>0</v>
      </c>
      <c r="M114" t="str">
        <f t="shared" si="14"/>
        <v/>
      </c>
      <c r="N114" s="135" t="str">
        <f t="shared" si="15"/>
        <v/>
      </c>
      <c r="O114" s="135" t="str">
        <f t="shared" si="15"/>
        <v/>
      </c>
      <c r="P114" s="135" t="str">
        <f t="shared" si="15"/>
        <v/>
      </c>
      <c r="Q114" s="135" t="str">
        <f t="shared" si="15"/>
        <v/>
      </c>
      <c r="R114" s="135" t="str">
        <f t="shared" si="15"/>
        <v/>
      </c>
      <c r="S114" s="135" t="str">
        <f t="shared" si="15"/>
        <v/>
      </c>
      <c r="T114" s="135" t="str">
        <f t="shared" si="15"/>
        <v/>
      </c>
      <c r="U114" s="135" t="str">
        <f t="shared" si="15"/>
        <v/>
      </c>
    </row>
    <row r="115" spans="1:21" ht="15" hidden="1" customHeight="1" x14ac:dyDescent="0.2">
      <c r="A115" s="163"/>
      <c r="B115" s="154"/>
      <c r="C115" s="155"/>
      <c r="D115" s="155"/>
      <c r="E115" s="131"/>
      <c r="F115" s="146" t="str">
        <f>IF(A115="","",IFERROR(INDEX(Table_Complete_CGNC_PCG!$E:$E,MATCH(L115,Table_Complete_CGNC_PCG!$I:$I,0)),"? Non mappe"))</f>
        <v/>
      </c>
      <c r="G115" s="147" t="str">
        <f>IF(A115="","",IFERROR(INDEX(Table_Complete_CGNC_PCG!$F:$F,MATCH(L115,Table_Complete_CGNC_PCG!$I:$I,0)),"Non trouve — ajouter dans la table"))</f>
        <v/>
      </c>
      <c r="H115" s="148" t="str">
        <f t="shared" si="10"/>
        <v/>
      </c>
      <c r="I115" s="148" t="str">
        <f t="shared" si="11"/>
        <v/>
      </c>
      <c r="J115" s="131"/>
      <c r="K115" s="143" t="str">
        <f>IF(A115="","",IFERROR(IF(F115="? Non mappe","Compte non trouve - mapper manuellement",IF(AND(ISNUMBER(SEARCH("516",L115)),D115&gt;0),"CAISSE CREDITRICE - anomalie a corriger",IF(IFERROR(INDEX(Table_Complete_CGNC_PCG!$D:$D,MATCH(L115,Table_Complete_CGNC_PCG!$I:$I,0)),"")="?","Retraitement requis - voir table","OK"))),"Erreur"))</f>
        <v/>
      </c>
      <c r="L115" s="141" t="str">
        <f t="shared" si="13"/>
        <v>0</v>
      </c>
      <c r="M115" t="str">
        <f t="shared" si="14"/>
        <v/>
      </c>
      <c r="N115" s="135" t="str">
        <f t="shared" si="15"/>
        <v/>
      </c>
      <c r="O115" s="135" t="str">
        <f t="shared" si="15"/>
        <v/>
      </c>
      <c r="P115" s="135" t="str">
        <f t="shared" si="15"/>
        <v/>
      </c>
      <c r="Q115" s="135" t="str">
        <f t="shared" si="15"/>
        <v/>
      </c>
      <c r="R115" s="135" t="str">
        <f t="shared" si="15"/>
        <v/>
      </c>
      <c r="S115" s="135" t="str">
        <f t="shared" si="15"/>
        <v/>
      </c>
      <c r="T115" s="135" t="str">
        <f t="shared" si="15"/>
        <v/>
      </c>
      <c r="U115" s="135" t="str">
        <f t="shared" si="15"/>
        <v/>
      </c>
    </row>
    <row r="116" spans="1:21" ht="15" hidden="1" customHeight="1" x14ac:dyDescent="0.2">
      <c r="A116" s="165"/>
      <c r="B116" s="156"/>
      <c r="C116" s="157"/>
      <c r="D116" s="157"/>
      <c r="E116" s="131"/>
      <c r="F116" s="153" t="str">
        <f>IF(A116="","",IFERROR(INDEX(Table_Complete_CGNC_PCG!$E:$E,MATCH(L116,Table_Complete_CGNC_PCG!$I:$I,0)),"? Non mappe"))</f>
        <v/>
      </c>
      <c r="G116" s="149" t="str">
        <f>IF(A116="","",IFERROR(INDEX(Table_Complete_CGNC_PCG!$F:$F,MATCH(L116,Table_Complete_CGNC_PCG!$I:$I,0)),"Non trouve — ajouter dans la table"))</f>
        <v/>
      </c>
      <c r="H116" s="148" t="str">
        <f t="shared" si="10"/>
        <v/>
      </c>
      <c r="I116" s="148" t="str">
        <f t="shared" si="11"/>
        <v/>
      </c>
      <c r="J116" s="131"/>
      <c r="K116" s="143" t="str">
        <f>IF(A116="","",IFERROR(IF(F116="? Non mappe","Compte non trouve - mapper manuellement",IF(AND(ISNUMBER(SEARCH("516",L116)),D116&gt;0),"CAISSE CREDITRICE - anomalie a corriger",IF(IFERROR(INDEX(Table_Complete_CGNC_PCG!$D:$D,MATCH(L116,Table_Complete_CGNC_PCG!$I:$I,0)),"")="?","Retraitement requis - voir table","OK"))),"Erreur"))</f>
        <v/>
      </c>
      <c r="L116" s="141" t="str">
        <f t="shared" si="13"/>
        <v>0</v>
      </c>
      <c r="M116" t="str">
        <f t="shared" si="14"/>
        <v/>
      </c>
      <c r="N116" s="135" t="str">
        <f t="shared" ref="N116:U131" si="16">IF(M116="","",IF(AND(LEN(M116)&gt;3,RIGHT(M116,1)="0"),LEFT(M116,LEN(M116)-1),M116))</f>
        <v/>
      </c>
      <c r="O116" s="135" t="str">
        <f t="shared" si="16"/>
        <v/>
      </c>
      <c r="P116" s="135" t="str">
        <f t="shared" si="16"/>
        <v/>
      </c>
      <c r="Q116" s="135" t="str">
        <f t="shared" si="16"/>
        <v/>
      </c>
      <c r="R116" s="135" t="str">
        <f t="shared" si="16"/>
        <v/>
      </c>
      <c r="S116" s="135" t="str">
        <f t="shared" si="16"/>
        <v/>
      </c>
      <c r="T116" s="135" t="str">
        <f t="shared" si="16"/>
        <v/>
      </c>
      <c r="U116" s="135" t="str">
        <f t="shared" si="16"/>
        <v/>
      </c>
    </row>
    <row r="117" spans="1:21" ht="15" hidden="1" customHeight="1" x14ac:dyDescent="0.2">
      <c r="A117" s="163"/>
      <c r="B117" s="154"/>
      <c r="C117" s="155"/>
      <c r="D117" s="155"/>
      <c r="E117" s="131"/>
      <c r="F117" s="146" t="str">
        <f>IF(A117="","",IFERROR(INDEX(Table_Complete_CGNC_PCG!$E:$E,MATCH(L117,Table_Complete_CGNC_PCG!$I:$I,0)),"? Non mappe"))</f>
        <v/>
      </c>
      <c r="G117" s="147" t="str">
        <f>IF(A117="","",IFERROR(INDEX(Table_Complete_CGNC_PCG!$F:$F,MATCH(L117,Table_Complete_CGNC_PCG!$I:$I,0)),"Non trouve — ajouter dans la table"))</f>
        <v/>
      </c>
      <c r="H117" s="148" t="str">
        <f t="shared" si="10"/>
        <v/>
      </c>
      <c r="I117" s="148" t="str">
        <f t="shared" si="11"/>
        <v/>
      </c>
      <c r="J117" s="131"/>
      <c r="K117" s="143" t="str">
        <f>IF(A117="","",IFERROR(IF(F117="? Non mappe","Compte non trouve - mapper manuellement",IF(AND(ISNUMBER(SEARCH("516",L117)),D117&gt;0),"CAISSE CREDITRICE - anomalie a corriger",IF(IFERROR(INDEX(Table_Complete_CGNC_PCG!$D:$D,MATCH(L117,Table_Complete_CGNC_PCG!$I:$I,0)),"")="?","Retraitement requis - voir table","OK"))),"Erreur"))</f>
        <v/>
      </c>
      <c r="L117" s="141" t="str">
        <f t="shared" si="13"/>
        <v>0</v>
      </c>
      <c r="M117" t="str">
        <f t="shared" si="14"/>
        <v/>
      </c>
      <c r="N117" s="135" t="str">
        <f t="shared" si="16"/>
        <v/>
      </c>
      <c r="O117" s="135" t="str">
        <f t="shared" si="16"/>
        <v/>
      </c>
      <c r="P117" s="135" t="str">
        <f t="shared" si="16"/>
        <v/>
      </c>
      <c r="Q117" s="135" t="str">
        <f t="shared" si="16"/>
        <v/>
      </c>
      <c r="R117" s="135" t="str">
        <f t="shared" si="16"/>
        <v/>
      </c>
      <c r="S117" s="135" t="str">
        <f t="shared" si="16"/>
        <v/>
      </c>
      <c r="T117" s="135" t="str">
        <f t="shared" si="16"/>
        <v/>
      </c>
      <c r="U117" s="135" t="str">
        <f t="shared" si="16"/>
        <v/>
      </c>
    </row>
    <row r="118" spans="1:21" ht="15" hidden="1" customHeight="1" x14ac:dyDescent="0.2">
      <c r="A118" s="165"/>
      <c r="B118" s="156"/>
      <c r="C118" s="157"/>
      <c r="D118" s="157"/>
      <c r="E118" s="131"/>
      <c r="F118" s="153" t="str">
        <f>IF(A118="","",IFERROR(INDEX(Table_Complete_CGNC_PCG!$E:$E,MATCH(L118,Table_Complete_CGNC_PCG!$I:$I,0)),"? Non mappe"))</f>
        <v/>
      </c>
      <c r="G118" s="149" t="str">
        <f>IF(A118="","",IFERROR(INDEX(Table_Complete_CGNC_PCG!$F:$F,MATCH(L118,Table_Complete_CGNC_PCG!$I:$I,0)),"Non trouve — ajouter dans la table"))</f>
        <v/>
      </c>
      <c r="H118" s="148" t="str">
        <f t="shared" si="10"/>
        <v/>
      </c>
      <c r="I118" s="148" t="str">
        <f t="shared" si="11"/>
        <v/>
      </c>
      <c r="J118" s="131"/>
      <c r="K118" s="143" t="str">
        <f>IF(A118="","",IFERROR(IF(F118="? Non mappe","Compte non trouve - mapper manuellement",IF(AND(ISNUMBER(SEARCH("516",L118)),D118&gt;0),"CAISSE CREDITRICE - anomalie a corriger",IF(IFERROR(INDEX(Table_Complete_CGNC_PCG!$D:$D,MATCH(L118,Table_Complete_CGNC_PCG!$I:$I,0)),"")="?","Retraitement requis - voir table","OK"))),"Erreur"))</f>
        <v/>
      </c>
      <c r="L118" s="141" t="str">
        <f t="shared" si="13"/>
        <v>0</v>
      </c>
      <c r="M118" t="str">
        <f t="shared" si="14"/>
        <v/>
      </c>
      <c r="N118" s="135" t="str">
        <f t="shared" si="16"/>
        <v/>
      </c>
      <c r="O118" s="135" t="str">
        <f t="shared" si="16"/>
        <v/>
      </c>
      <c r="P118" s="135" t="str">
        <f t="shared" si="16"/>
        <v/>
      </c>
      <c r="Q118" s="135" t="str">
        <f t="shared" si="16"/>
        <v/>
      </c>
      <c r="R118" s="135" t="str">
        <f t="shared" si="16"/>
        <v/>
      </c>
      <c r="S118" s="135" t="str">
        <f t="shared" si="16"/>
        <v/>
      </c>
      <c r="T118" s="135" t="str">
        <f t="shared" si="16"/>
        <v/>
      </c>
      <c r="U118" s="135" t="str">
        <f t="shared" si="16"/>
        <v/>
      </c>
    </row>
    <row r="119" spans="1:21" ht="15" hidden="1" customHeight="1" x14ac:dyDescent="0.2">
      <c r="A119" s="163"/>
      <c r="B119" s="154"/>
      <c r="C119" s="155"/>
      <c r="D119" s="155"/>
      <c r="E119" s="131"/>
      <c r="F119" s="146" t="str">
        <f>IF(A119="","",IFERROR(INDEX(Table_Complete_CGNC_PCG!$E:$E,MATCH(L119,Table_Complete_CGNC_PCG!$I:$I,0)),"? Non mappe"))</f>
        <v/>
      </c>
      <c r="G119" s="147" t="str">
        <f>IF(A119="","",IFERROR(INDEX(Table_Complete_CGNC_PCG!$F:$F,MATCH(L119,Table_Complete_CGNC_PCG!$I:$I,0)),"Non trouve — ajouter dans la table"))</f>
        <v/>
      </c>
      <c r="H119" s="148" t="str">
        <f t="shared" si="10"/>
        <v/>
      </c>
      <c r="I119" s="148" t="str">
        <f t="shared" si="11"/>
        <v/>
      </c>
      <c r="J119" s="131"/>
      <c r="K119" s="143" t="str">
        <f>IF(A119="","",IFERROR(IF(F119="? Non mappe","Compte non trouve - mapper manuellement",IF(AND(ISNUMBER(SEARCH("516",L119)),D119&gt;0),"CAISSE CREDITRICE - anomalie a corriger",IF(IFERROR(INDEX(Table_Complete_CGNC_PCG!$D:$D,MATCH(L119,Table_Complete_CGNC_PCG!$I:$I,0)),"")="?","Retraitement requis - voir table","OK"))),"Erreur"))</f>
        <v/>
      </c>
      <c r="L119" s="141" t="str">
        <f t="shared" si="13"/>
        <v>0</v>
      </c>
      <c r="M119" t="str">
        <f t="shared" si="14"/>
        <v/>
      </c>
      <c r="N119" s="135" t="str">
        <f t="shared" si="16"/>
        <v/>
      </c>
      <c r="O119" s="135" t="str">
        <f t="shared" si="16"/>
        <v/>
      </c>
      <c r="P119" s="135" t="str">
        <f t="shared" si="16"/>
        <v/>
      </c>
      <c r="Q119" s="135" t="str">
        <f t="shared" si="16"/>
        <v/>
      </c>
      <c r="R119" s="135" t="str">
        <f t="shared" si="16"/>
        <v/>
      </c>
      <c r="S119" s="135" t="str">
        <f t="shared" si="16"/>
        <v/>
      </c>
      <c r="T119" s="135" t="str">
        <f t="shared" si="16"/>
        <v/>
      </c>
      <c r="U119" s="135" t="str">
        <f t="shared" si="16"/>
        <v/>
      </c>
    </row>
    <row r="120" spans="1:21" ht="15" hidden="1" customHeight="1" x14ac:dyDescent="0.2">
      <c r="A120" s="165"/>
      <c r="B120" s="156"/>
      <c r="C120" s="157"/>
      <c r="D120" s="157"/>
      <c r="E120" s="131"/>
      <c r="F120" s="153" t="str">
        <f>IF(A120="","",IFERROR(INDEX(Table_Complete_CGNC_PCG!$E:$E,MATCH(L120,Table_Complete_CGNC_PCG!$I:$I,0)),"? Non mappe"))</f>
        <v/>
      </c>
      <c r="G120" s="149" t="str">
        <f>IF(A120="","",IFERROR(INDEX(Table_Complete_CGNC_PCG!$F:$F,MATCH(L120,Table_Complete_CGNC_PCG!$I:$I,0)),"Non trouve — ajouter dans la table"))</f>
        <v/>
      </c>
      <c r="H120" s="148" t="str">
        <f t="shared" si="10"/>
        <v/>
      </c>
      <c r="I120" s="148" t="str">
        <f t="shared" si="11"/>
        <v/>
      </c>
      <c r="J120" s="131"/>
      <c r="K120" s="143" t="str">
        <f>IF(A120="","",IFERROR(IF(F120="? Non mappe","Compte non trouve - mapper manuellement",IF(AND(ISNUMBER(SEARCH("516",L120)),D120&gt;0),"CAISSE CREDITRICE - anomalie a corriger",IF(IFERROR(INDEX(Table_Complete_CGNC_PCG!$D:$D,MATCH(L120,Table_Complete_CGNC_PCG!$I:$I,0)),"")="?","Retraitement requis - voir table","OK"))),"Erreur"))</f>
        <v/>
      </c>
      <c r="L120" s="141" t="str">
        <f t="shared" si="13"/>
        <v>0</v>
      </c>
      <c r="M120" t="str">
        <f t="shared" si="14"/>
        <v/>
      </c>
      <c r="N120" s="135" t="str">
        <f t="shared" si="16"/>
        <v/>
      </c>
      <c r="O120" s="135" t="str">
        <f t="shared" si="16"/>
        <v/>
      </c>
      <c r="P120" s="135" t="str">
        <f t="shared" si="16"/>
        <v/>
      </c>
      <c r="Q120" s="135" t="str">
        <f t="shared" si="16"/>
        <v/>
      </c>
      <c r="R120" s="135" t="str">
        <f t="shared" si="16"/>
        <v/>
      </c>
      <c r="S120" s="135" t="str">
        <f t="shared" si="16"/>
        <v/>
      </c>
      <c r="T120" s="135" t="str">
        <f t="shared" si="16"/>
        <v/>
      </c>
      <c r="U120" s="135" t="str">
        <f t="shared" si="16"/>
        <v/>
      </c>
    </row>
    <row r="121" spans="1:21" ht="15" hidden="1" customHeight="1" x14ac:dyDescent="0.2">
      <c r="A121" s="163"/>
      <c r="B121" s="154"/>
      <c r="C121" s="155"/>
      <c r="D121" s="155"/>
      <c r="E121" s="131"/>
      <c r="F121" s="146" t="str">
        <f>IF(A121="","",IFERROR(INDEX(Table_Complete_CGNC_PCG!$E:$E,MATCH(L121,Table_Complete_CGNC_PCG!$I:$I,0)),"? Non mappe"))</f>
        <v/>
      </c>
      <c r="G121" s="147" t="str">
        <f>IF(A121="","",IFERROR(INDEX(Table_Complete_CGNC_PCG!$F:$F,MATCH(L121,Table_Complete_CGNC_PCG!$I:$I,0)),"Non trouve — ajouter dans la table"))</f>
        <v/>
      </c>
      <c r="H121" s="148" t="str">
        <f t="shared" si="10"/>
        <v/>
      </c>
      <c r="I121" s="148" t="str">
        <f t="shared" si="11"/>
        <v/>
      </c>
      <c r="J121" s="131"/>
      <c r="K121" s="143" t="str">
        <f>IF(A121="","",IFERROR(IF(F121="? Non mappe","Compte non trouve - mapper manuellement",IF(AND(ISNUMBER(SEARCH("516",L121)),D121&gt;0),"CAISSE CREDITRICE - anomalie a corriger",IF(IFERROR(INDEX(Table_Complete_CGNC_PCG!$D:$D,MATCH(L121,Table_Complete_CGNC_PCG!$I:$I,0)),"")="?","Retraitement requis - voir table","OK"))),"Erreur"))</f>
        <v/>
      </c>
      <c r="L121" s="141" t="str">
        <f t="shared" si="13"/>
        <v>0</v>
      </c>
      <c r="M121" t="str">
        <f t="shared" si="14"/>
        <v/>
      </c>
      <c r="N121" s="135" t="str">
        <f t="shared" si="16"/>
        <v/>
      </c>
      <c r="O121" s="135" t="str">
        <f t="shared" si="16"/>
        <v/>
      </c>
      <c r="P121" s="135" t="str">
        <f t="shared" si="16"/>
        <v/>
      </c>
      <c r="Q121" s="135" t="str">
        <f t="shared" si="16"/>
        <v/>
      </c>
      <c r="R121" s="135" t="str">
        <f t="shared" si="16"/>
        <v/>
      </c>
      <c r="S121" s="135" t="str">
        <f t="shared" si="16"/>
        <v/>
      </c>
      <c r="T121" s="135" t="str">
        <f t="shared" si="16"/>
        <v/>
      </c>
      <c r="U121" s="135" t="str">
        <f t="shared" si="16"/>
        <v/>
      </c>
    </row>
    <row r="122" spans="1:21" ht="15" hidden="1" customHeight="1" x14ac:dyDescent="0.2">
      <c r="A122" s="165"/>
      <c r="B122" s="156"/>
      <c r="C122" s="157"/>
      <c r="D122" s="157"/>
      <c r="E122" s="131"/>
      <c r="F122" s="153" t="str">
        <f>IF(A122="","",IFERROR(INDEX(Table_Complete_CGNC_PCG!$E:$E,MATCH(L122,Table_Complete_CGNC_PCG!$I:$I,0)),"? Non mappe"))</f>
        <v/>
      </c>
      <c r="G122" s="149" t="str">
        <f>IF(A122="","",IFERROR(INDEX(Table_Complete_CGNC_PCG!$F:$F,MATCH(L122,Table_Complete_CGNC_PCG!$I:$I,0)),"Non trouve — ajouter dans la table"))</f>
        <v/>
      </c>
      <c r="H122" s="148" t="str">
        <f t="shared" si="10"/>
        <v/>
      </c>
      <c r="I122" s="148" t="str">
        <f t="shared" si="11"/>
        <v/>
      </c>
      <c r="J122" s="131"/>
      <c r="K122" s="143" t="str">
        <f>IF(A122="","",IFERROR(IF(F122="? Non mappe","Compte non trouve - mapper manuellement",IF(AND(ISNUMBER(SEARCH("516",L122)),D122&gt;0),"CAISSE CREDITRICE - anomalie a corriger",IF(IFERROR(INDEX(Table_Complete_CGNC_PCG!$D:$D,MATCH(L122,Table_Complete_CGNC_PCG!$I:$I,0)),"")="?","Retraitement requis - voir table","OK"))),"Erreur"))</f>
        <v/>
      </c>
      <c r="L122" s="141" t="str">
        <f t="shared" si="13"/>
        <v>0</v>
      </c>
      <c r="M122" t="str">
        <f t="shared" si="14"/>
        <v/>
      </c>
      <c r="N122" s="135" t="str">
        <f t="shared" si="16"/>
        <v/>
      </c>
      <c r="O122" s="135" t="str">
        <f t="shared" si="16"/>
        <v/>
      </c>
      <c r="P122" s="135" t="str">
        <f t="shared" si="16"/>
        <v/>
      </c>
      <c r="Q122" s="135" t="str">
        <f t="shared" si="16"/>
        <v/>
      </c>
      <c r="R122" s="135" t="str">
        <f t="shared" si="16"/>
        <v/>
      </c>
      <c r="S122" s="135" t="str">
        <f t="shared" si="16"/>
        <v/>
      </c>
      <c r="T122" s="135" t="str">
        <f t="shared" si="16"/>
        <v/>
      </c>
      <c r="U122" s="135" t="str">
        <f t="shared" si="16"/>
        <v/>
      </c>
    </row>
    <row r="123" spans="1:21" ht="15" hidden="1" customHeight="1" x14ac:dyDescent="0.2">
      <c r="A123" s="163"/>
      <c r="B123" s="154"/>
      <c r="C123" s="155"/>
      <c r="D123" s="155"/>
      <c r="E123" s="131"/>
      <c r="F123" s="146" t="str">
        <f>IF(A123="","",IFERROR(INDEX(Table_Complete_CGNC_PCG!$E:$E,MATCH(L123,Table_Complete_CGNC_PCG!$I:$I,0)),"? Non mappe"))</f>
        <v/>
      </c>
      <c r="G123" s="147" t="str">
        <f>IF(A123="","",IFERROR(INDEX(Table_Complete_CGNC_PCG!$F:$F,MATCH(L123,Table_Complete_CGNC_PCG!$I:$I,0)),"Non trouve — ajouter dans la table"))</f>
        <v/>
      </c>
      <c r="H123" s="148" t="str">
        <f t="shared" si="10"/>
        <v/>
      </c>
      <c r="I123" s="148" t="str">
        <f t="shared" si="11"/>
        <v/>
      </c>
      <c r="J123" s="131"/>
      <c r="K123" s="143" t="str">
        <f>IF(A123="","",IFERROR(IF(F123="? Non mappe","Compte non trouve - mapper manuellement",IF(AND(ISNUMBER(SEARCH("516",L123)),D123&gt;0),"CAISSE CREDITRICE - anomalie a corriger",IF(IFERROR(INDEX(Table_Complete_CGNC_PCG!$D:$D,MATCH(L123,Table_Complete_CGNC_PCG!$I:$I,0)),"")="?","Retraitement requis - voir table","OK"))),"Erreur"))</f>
        <v/>
      </c>
      <c r="L123" s="141" t="str">
        <f t="shared" ref="L123:L154" si="17">LEFT(TEXT(A123,"0"),4)</f>
        <v>0</v>
      </c>
      <c r="M123" t="str">
        <f t="shared" ref="M123:M154" si="18">IF(A123="","",TRIM(A123&amp;""))</f>
        <v/>
      </c>
      <c r="N123" s="135" t="str">
        <f t="shared" si="16"/>
        <v/>
      </c>
      <c r="O123" s="135" t="str">
        <f t="shared" si="16"/>
        <v/>
      </c>
      <c r="P123" s="135" t="str">
        <f t="shared" si="16"/>
        <v/>
      </c>
      <c r="Q123" s="135" t="str">
        <f t="shared" si="16"/>
        <v/>
      </c>
      <c r="R123" s="135" t="str">
        <f t="shared" si="16"/>
        <v/>
      </c>
      <c r="S123" s="135" t="str">
        <f t="shared" si="16"/>
        <v/>
      </c>
      <c r="T123" s="135" t="str">
        <f t="shared" si="16"/>
        <v/>
      </c>
      <c r="U123" s="135" t="str">
        <f t="shared" si="16"/>
        <v/>
      </c>
    </row>
    <row r="124" spans="1:21" ht="15" hidden="1" customHeight="1" x14ac:dyDescent="0.2">
      <c r="A124" s="165"/>
      <c r="B124" s="156"/>
      <c r="C124" s="157"/>
      <c r="D124" s="157"/>
      <c r="E124" s="131"/>
      <c r="F124" s="153" t="str">
        <f>IF(A124="","",IFERROR(INDEX(Table_Complete_CGNC_PCG!$E:$E,MATCH(L124,Table_Complete_CGNC_PCG!$I:$I,0)),"? Non mappe"))</f>
        <v/>
      </c>
      <c r="G124" s="149" t="str">
        <f>IF(A124="","",IFERROR(INDEX(Table_Complete_CGNC_PCG!$F:$F,MATCH(L124,Table_Complete_CGNC_PCG!$I:$I,0)),"Non trouve — ajouter dans la table"))</f>
        <v/>
      </c>
      <c r="H124" s="148" t="str">
        <f t="shared" si="10"/>
        <v/>
      </c>
      <c r="I124" s="148" t="str">
        <f t="shared" si="11"/>
        <v/>
      </c>
      <c r="J124" s="131"/>
      <c r="K124" s="143" t="str">
        <f>IF(A124="","",IFERROR(IF(F124="? Non mappe","Compte non trouve - mapper manuellement",IF(AND(ISNUMBER(SEARCH("516",L124)),D124&gt;0),"CAISSE CREDITRICE - anomalie a corriger",IF(IFERROR(INDEX(Table_Complete_CGNC_PCG!$D:$D,MATCH(L124,Table_Complete_CGNC_PCG!$I:$I,0)),"")="?","Retraitement requis - voir table","OK"))),"Erreur"))</f>
        <v/>
      </c>
      <c r="L124" s="141" t="str">
        <f t="shared" si="17"/>
        <v>0</v>
      </c>
      <c r="M124" t="str">
        <f t="shared" si="18"/>
        <v/>
      </c>
      <c r="N124" s="135" t="str">
        <f t="shared" si="16"/>
        <v/>
      </c>
      <c r="O124" s="135" t="str">
        <f t="shared" si="16"/>
        <v/>
      </c>
      <c r="P124" s="135" t="str">
        <f t="shared" si="16"/>
        <v/>
      </c>
      <c r="Q124" s="135" t="str">
        <f t="shared" si="16"/>
        <v/>
      </c>
      <c r="R124" s="135" t="str">
        <f t="shared" si="16"/>
        <v/>
      </c>
      <c r="S124" s="135" t="str">
        <f t="shared" si="16"/>
        <v/>
      </c>
      <c r="T124" s="135" t="str">
        <f t="shared" si="16"/>
        <v/>
      </c>
      <c r="U124" s="135" t="str">
        <f t="shared" si="16"/>
        <v/>
      </c>
    </row>
    <row r="125" spans="1:21" ht="15" hidden="1" customHeight="1" x14ac:dyDescent="0.2">
      <c r="A125" s="163"/>
      <c r="B125" s="154"/>
      <c r="C125" s="155"/>
      <c r="D125" s="155"/>
      <c r="E125" s="131"/>
      <c r="F125" s="146" t="str">
        <f>IF(A125="","",IFERROR(INDEX(Table_Complete_CGNC_PCG!$E:$E,MATCH(L125,Table_Complete_CGNC_PCG!$I:$I,0)),"? Non mappe"))</f>
        <v/>
      </c>
      <c r="G125" s="147" t="str">
        <f>IF(A125="","",IFERROR(INDEX(Table_Complete_CGNC_PCG!$F:$F,MATCH(L125,Table_Complete_CGNC_PCG!$I:$I,0)),"Non trouve — ajouter dans la table"))</f>
        <v/>
      </c>
      <c r="H125" s="148" t="str">
        <f t="shared" si="10"/>
        <v/>
      </c>
      <c r="I125" s="148" t="str">
        <f t="shared" si="11"/>
        <v/>
      </c>
      <c r="J125" s="131"/>
      <c r="K125" s="143" t="str">
        <f>IF(A125="","",IFERROR(IF(F125="? Non mappe","Compte non trouve - mapper manuellement",IF(AND(ISNUMBER(SEARCH("516",L125)),D125&gt;0),"CAISSE CREDITRICE - anomalie a corriger",IF(IFERROR(INDEX(Table_Complete_CGNC_PCG!$D:$D,MATCH(L125,Table_Complete_CGNC_PCG!$I:$I,0)),"")="?","Retraitement requis - voir table","OK"))),"Erreur"))</f>
        <v/>
      </c>
      <c r="L125" s="141" t="str">
        <f t="shared" si="17"/>
        <v>0</v>
      </c>
      <c r="M125" t="str">
        <f t="shared" si="18"/>
        <v/>
      </c>
      <c r="N125" s="135" t="str">
        <f t="shared" si="16"/>
        <v/>
      </c>
      <c r="O125" s="135" t="str">
        <f t="shared" si="16"/>
        <v/>
      </c>
      <c r="P125" s="135" t="str">
        <f t="shared" si="16"/>
        <v/>
      </c>
      <c r="Q125" s="135" t="str">
        <f t="shared" si="16"/>
        <v/>
      </c>
      <c r="R125" s="135" t="str">
        <f t="shared" si="16"/>
        <v/>
      </c>
      <c r="S125" s="135" t="str">
        <f t="shared" si="16"/>
        <v/>
      </c>
      <c r="T125" s="135" t="str">
        <f t="shared" si="16"/>
        <v/>
      </c>
      <c r="U125" s="135" t="str">
        <f t="shared" si="16"/>
        <v/>
      </c>
    </row>
    <row r="126" spans="1:21" ht="15" hidden="1" customHeight="1" x14ac:dyDescent="0.2">
      <c r="A126" s="165"/>
      <c r="B126" s="156"/>
      <c r="C126" s="157"/>
      <c r="D126" s="157"/>
      <c r="E126" s="131"/>
      <c r="F126" s="153" t="str">
        <f>IF(A126="","",IFERROR(INDEX(Table_Complete_CGNC_PCG!$E:$E,MATCH(L126,Table_Complete_CGNC_PCG!$I:$I,0)),"? Non mappe"))</f>
        <v/>
      </c>
      <c r="G126" s="149" t="str">
        <f>IF(A126="","",IFERROR(INDEX(Table_Complete_CGNC_PCG!$F:$F,MATCH(L126,Table_Complete_CGNC_PCG!$I:$I,0)),"Non trouve — ajouter dans la table"))</f>
        <v/>
      </c>
      <c r="H126" s="148" t="str">
        <f t="shared" si="10"/>
        <v/>
      </c>
      <c r="I126" s="148" t="str">
        <f t="shared" si="11"/>
        <v/>
      </c>
      <c r="J126" s="131"/>
      <c r="K126" s="143" t="str">
        <f>IF(A126="","",IFERROR(IF(F126="? Non mappe","Compte non trouve - mapper manuellement",IF(AND(ISNUMBER(SEARCH("516",L126)),D126&gt;0),"CAISSE CREDITRICE - anomalie a corriger",IF(IFERROR(INDEX(Table_Complete_CGNC_PCG!$D:$D,MATCH(L126,Table_Complete_CGNC_PCG!$I:$I,0)),"")="?","Retraitement requis - voir table","OK"))),"Erreur"))</f>
        <v/>
      </c>
      <c r="L126" s="141" t="str">
        <f t="shared" si="17"/>
        <v>0</v>
      </c>
      <c r="M126" t="str">
        <f t="shared" si="18"/>
        <v/>
      </c>
      <c r="N126" s="135" t="str">
        <f t="shared" si="16"/>
        <v/>
      </c>
      <c r="O126" s="135" t="str">
        <f t="shared" si="16"/>
        <v/>
      </c>
      <c r="P126" s="135" t="str">
        <f t="shared" si="16"/>
        <v/>
      </c>
      <c r="Q126" s="135" t="str">
        <f t="shared" si="16"/>
        <v/>
      </c>
      <c r="R126" s="135" t="str">
        <f t="shared" si="16"/>
        <v/>
      </c>
      <c r="S126" s="135" t="str">
        <f t="shared" si="16"/>
        <v/>
      </c>
      <c r="T126" s="135" t="str">
        <f t="shared" si="16"/>
        <v/>
      </c>
      <c r="U126" s="135" t="str">
        <f t="shared" si="16"/>
        <v/>
      </c>
    </row>
    <row r="127" spans="1:21" ht="15" hidden="1" customHeight="1" x14ac:dyDescent="0.2">
      <c r="A127" s="163"/>
      <c r="B127" s="154"/>
      <c r="C127" s="155"/>
      <c r="D127" s="155"/>
      <c r="E127" s="131"/>
      <c r="F127" s="146" t="str">
        <f>IF(A127="","",IFERROR(INDEX(Table_Complete_CGNC_PCG!$E:$E,MATCH(L127,Table_Complete_CGNC_PCG!$I:$I,0)),"? Non mappe"))</f>
        <v/>
      </c>
      <c r="G127" s="147" t="str">
        <f>IF(A127="","",IFERROR(INDEX(Table_Complete_CGNC_PCG!$F:$F,MATCH(L127,Table_Complete_CGNC_PCG!$I:$I,0)),"Non trouve — ajouter dans la table"))</f>
        <v/>
      </c>
      <c r="H127" s="148" t="str">
        <f t="shared" si="10"/>
        <v/>
      </c>
      <c r="I127" s="148" t="str">
        <f t="shared" si="11"/>
        <v/>
      </c>
      <c r="J127" s="131"/>
      <c r="K127" s="143" t="str">
        <f>IF(A127="","",IFERROR(IF(F127="? Non mappe","Compte non trouve - mapper manuellement",IF(AND(ISNUMBER(SEARCH("516",L127)),D127&gt;0),"CAISSE CREDITRICE - anomalie a corriger",IF(IFERROR(INDEX(Table_Complete_CGNC_PCG!$D:$D,MATCH(L127,Table_Complete_CGNC_PCG!$I:$I,0)),"")="?","Retraitement requis - voir table","OK"))),"Erreur"))</f>
        <v/>
      </c>
      <c r="L127" s="141" t="str">
        <f t="shared" si="17"/>
        <v>0</v>
      </c>
      <c r="M127" t="str">
        <f t="shared" si="18"/>
        <v/>
      </c>
      <c r="N127" s="135" t="str">
        <f t="shared" si="16"/>
        <v/>
      </c>
      <c r="O127" s="135" t="str">
        <f t="shared" si="16"/>
        <v/>
      </c>
      <c r="P127" s="135" t="str">
        <f t="shared" si="16"/>
        <v/>
      </c>
      <c r="Q127" s="135" t="str">
        <f t="shared" si="16"/>
        <v/>
      </c>
      <c r="R127" s="135" t="str">
        <f t="shared" si="16"/>
        <v/>
      </c>
      <c r="S127" s="135" t="str">
        <f t="shared" si="16"/>
        <v/>
      </c>
      <c r="T127" s="135" t="str">
        <f t="shared" si="16"/>
        <v/>
      </c>
      <c r="U127" s="135" t="str">
        <f t="shared" si="16"/>
        <v/>
      </c>
    </row>
    <row r="128" spans="1:21" ht="15" hidden="1" customHeight="1" x14ac:dyDescent="0.2">
      <c r="A128" s="165"/>
      <c r="B128" s="156"/>
      <c r="C128" s="157"/>
      <c r="D128" s="157"/>
      <c r="E128" s="131"/>
      <c r="F128" s="153" t="str">
        <f>IF(A128="","",IFERROR(INDEX(Table_Complete_CGNC_PCG!$E:$E,MATCH(L128,Table_Complete_CGNC_PCG!$I:$I,0)),"? Non mappe"))</f>
        <v/>
      </c>
      <c r="G128" s="149" t="str">
        <f>IF(A128="","",IFERROR(INDEX(Table_Complete_CGNC_PCG!$F:$F,MATCH(L128,Table_Complete_CGNC_PCG!$I:$I,0)),"Non trouve — ajouter dans la table"))</f>
        <v/>
      </c>
      <c r="H128" s="148" t="str">
        <f t="shared" si="10"/>
        <v/>
      </c>
      <c r="I128" s="148" t="str">
        <f t="shared" si="11"/>
        <v/>
      </c>
      <c r="J128" s="131"/>
      <c r="K128" s="143" t="str">
        <f>IF(A128="","",IFERROR(IF(F128="? Non mappe","Compte non trouve - mapper manuellement",IF(AND(ISNUMBER(SEARCH("516",L128)),D128&gt;0),"CAISSE CREDITRICE - anomalie a corriger",IF(IFERROR(INDEX(Table_Complete_CGNC_PCG!$D:$D,MATCH(L128,Table_Complete_CGNC_PCG!$I:$I,0)),"")="?","Retraitement requis - voir table","OK"))),"Erreur"))</f>
        <v/>
      </c>
      <c r="L128" s="141" t="str">
        <f t="shared" si="17"/>
        <v>0</v>
      </c>
      <c r="M128" t="str">
        <f t="shared" si="18"/>
        <v/>
      </c>
      <c r="N128" s="135" t="str">
        <f t="shared" si="16"/>
        <v/>
      </c>
      <c r="O128" s="135" t="str">
        <f t="shared" si="16"/>
        <v/>
      </c>
      <c r="P128" s="135" t="str">
        <f t="shared" si="16"/>
        <v/>
      </c>
      <c r="Q128" s="135" t="str">
        <f t="shared" si="16"/>
        <v/>
      </c>
      <c r="R128" s="135" t="str">
        <f t="shared" si="16"/>
        <v/>
      </c>
      <c r="S128" s="135" t="str">
        <f t="shared" si="16"/>
        <v/>
      </c>
      <c r="T128" s="135" t="str">
        <f t="shared" si="16"/>
        <v/>
      </c>
      <c r="U128" s="135" t="str">
        <f t="shared" si="16"/>
        <v/>
      </c>
    </row>
    <row r="129" spans="1:21" ht="15" hidden="1" customHeight="1" x14ac:dyDescent="0.2">
      <c r="A129" s="163"/>
      <c r="B129" s="154"/>
      <c r="C129" s="155"/>
      <c r="D129" s="155"/>
      <c r="E129" s="131"/>
      <c r="F129" s="146" t="str">
        <f>IF(A129="","",IFERROR(INDEX(Table_Complete_CGNC_PCG!$E:$E,MATCH(L129,Table_Complete_CGNC_PCG!$I:$I,0)),"? Non mappe"))</f>
        <v/>
      </c>
      <c r="G129" s="147" t="str">
        <f>IF(A129="","",IFERROR(INDEX(Table_Complete_CGNC_PCG!$F:$F,MATCH(L129,Table_Complete_CGNC_PCG!$I:$I,0)),"Non trouve — ajouter dans la table"))</f>
        <v/>
      </c>
      <c r="H129" s="148" t="str">
        <f t="shared" si="10"/>
        <v/>
      </c>
      <c r="I129" s="148" t="str">
        <f t="shared" si="11"/>
        <v/>
      </c>
      <c r="J129" s="131"/>
      <c r="K129" s="143" t="str">
        <f>IF(A129="","",IFERROR(IF(F129="? Non mappe","Compte non trouve - mapper manuellement",IF(AND(ISNUMBER(SEARCH("516",L129)),D129&gt;0),"CAISSE CREDITRICE - anomalie a corriger",IF(IFERROR(INDEX(Table_Complete_CGNC_PCG!$D:$D,MATCH(L129,Table_Complete_CGNC_PCG!$I:$I,0)),"")="?","Retraitement requis - voir table","OK"))),"Erreur"))</f>
        <v/>
      </c>
      <c r="L129" s="141" t="str">
        <f t="shared" si="17"/>
        <v>0</v>
      </c>
      <c r="M129" t="str">
        <f t="shared" si="18"/>
        <v/>
      </c>
      <c r="N129" s="135" t="str">
        <f t="shared" si="16"/>
        <v/>
      </c>
      <c r="O129" s="135" t="str">
        <f t="shared" si="16"/>
        <v/>
      </c>
      <c r="P129" s="135" t="str">
        <f t="shared" si="16"/>
        <v/>
      </c>
      <c r="Q129" s="135" t="str">
        <f t="shared" si="16"/>
        <v/>
      </c>
      <c r="R129" s="135" t="str">
        <f t="shared" si="16"/>
        <v/>
      </c>
      <c r="S129" s="135" t="str">
        <f t="shared" si="16"/>
        <v/>
      </c>
      <c r="T129" s="135" t="str">
        <f t="shared" si="16"/>
        <v/>
      </c>
      <c r="U129" s="135" t="str">
        <f t="shared" si="16"/>
        <v/>
      </c>
    </row>
    <row r="130" spans="1:21" ht="15" hidden="1" customHeight="1" x14ac:dyDescent="0.2">
      <c r="A130" s="165"/>
      <c r="B130" s="156"/>
      <c r="C130" s="157"/>
      <c r="D130" s="157"/>
      <c r="E130" s="131"/>
      <c r="F130" s="153" t="str">
        <f>IF(A130="","",IFERROR(INDEX(Table_Complete_CGNC_PCG!$E:$E,MATCH(L130,Table_Complete_CGNC_PCG!$I:$I,0)),"? Non mappe"))</f>
        <v/>
      </c>
      <c r="G130" s="149" t="str">
        <f>IF(A130="","",IFERROR(INDEX(Table_Complete_CGNC_PCG!$F:$F,MATCH(L130,Table_Complete_CGNC_PCG!$I:$I,0)),"Non trouve — ajouter dans la table"))</f>
        <v/>
      </c>
      <c r="H130" s="148" t="str">
        <f t="shared" si="10"/>
        <v/>
      </c>
      <c r="I130" s="148" t="str">
        <f t="shared" si="11"/>
        <v/>
      </c>
      <c r="J130" s="131"/>
      <c r="K130" s="143" t="str">
        <f>IF(A130="","",IFERROR(IF(F130="? Non mappe","Compte non trouve - mapper manuellement",IF(AND(ISNUMBER(SEARCH("516",L130)),D130&gt;0),"CAISSE CREDITRICE - anomalie a corriger",IF(IFERROR(INDEX(Table_Complete_CGNC_PCG!$D:$D,MATCH(L130,Table_Complete_CGNC_PCG!$I:$I,0)),"")="?","Retraitement requis - voir table","OK"))),"Erreur"))</f>
        <v/>
      </c>
      <c r="L130" s="141" t="str">
        <f t="shared" si="17"/>
        <v>0</v>
      </c>
      <c r="M130" t="str">
        <f t="shared" si="18"/>
        <v/>
      </c>
      <c r="N130" s="135" t="str">
        <f t="shared" si="16"/>
        <v/>
      </c>
      <c r="O130" s="135" t="str">
        <f t="shared" si="16"/>
        <v/>
      </c>
      <c r="P130" s="135" t="str">
        <f t="shared" si="16"/>
        <v/>
      </c>
      <c r="Q130" s="135" t="str">
        <f t="shared" si="16"/>
        <v/>
      </c>
      <c r="R130" s="135" t="str">
        <f t="shared" si="16"/>
        <v/>
      </c>
      <c r="S130" s="135" t="str">
        <f t="shared" si="16"/>
        <v/>
      </c>
      <c r="T130" s="135" t="str">
        <f t="shared" si="16"/>
        <v/>
      </c>
      <c r="U130" s="135" t="str">
        <f t="shared" si="16"/>
        <v/>
      </c>
    </row>
    <row r="131" spans="1:21" ht="15" hidden="1" customHeight="1" x14ac:dyDescent="0.2">
      <c r="A131" s="163"/>
      <c r="B131" s="154"/>
      <c r="C131" s="155"/>
      <c r="D131" s="155"/>
      <c r="E131" s="131"/>
      <c r="F131" s="146" t="str">
        <f>IF(A131="","",IFERROR(INDEX(Table_Complete_CGNC_PCG!$E:$E,MATCH(L131,Table_Complete_CGNC_PCG!$I:$I,0)),"? Non mappe"))</f>
        <v/>
      </c>
      <c r="G131" s="147" t="str">
        <f>IF(A131="","",IFERROR(INDEX(Table_Complete_CGNC_PCG!$F:$F,MATCH(L131,Table_Complete_CGNC_PCG!$I:$I,0)),"Non trouve — ajouter dans la table"))</f>
        <v/>
      </c>
      <c r="H131" s="148" t="str">
        <f t="shared" si="10"/>
        <v/>
      </c>
      <c r="I131" s="148" t="str">
        <f t="shared" si="11"/>
        <v/>
      </c>
      <c r="J131" s="131"/>
      <c r="K131" s="143" t="str">
        <f>IF(A131="","",IFERROR(IF(F131="? Non mappe","Compte non trouve - mapper manuellement",IF(AND(ISNUMBER(SEARCH("516",L131)),D131&gt;0),"CAISSE CREDITRICE - anomalie a corriger",IF(IFERROR(INDEX(Table_Complete_CGNC_PCG!$D:$D,MATCH(L131,Table_Complete_CGNC_PCG!$I:$I,0)),"")="?","Retraitement requis - voir table","OK"))),"Erreur"))</f>
        <v/>
      </c>
      <c r="L131" s="141" t="str">
        <f t="shared" si="17"/>
        <v>0</v>
      </c>
      <c r="M131" t="str">
        <f t="shared" si="18"/>
        <v/>
      </c>
      <c r="N131" s="135" t="str">
        <f t="shared" si="16"/>
        <v/>
      </c>
      <c r="O131" s="135" t="str">
        <f t="shared" si="16"/>
        <v/>
      </c>
      <c r="P131" s="135" t="str">
        <f t="shared" si="16"/>
        <v/>
      </c>
      <c r="Q131" s="135" t="str">
        <f t="shared" si="16"/>
        <v/>
      </c>
      <c r="R131" s="135" t="str">
        <f t="shared" si="16"/>
        <v/>
      </c>
      <c r="S131" s="135" t="str">
        <f t="shared" si="16"/>
        <v/>
      </c>
      <c r="T131" s="135" t="str">
        <f t="shared" si="16"/>
        <v/>
      </c>
      <c r="U131" s="135" t="str">
        <f t="shared" si="16"/>
        <v/>
      </c>
    </row>
    <row r="132" spans="1:21" ht="15" hidden="1" customHeight="1" x14ac:dyDescent="0.2">
      <c r="A132" s="165"/>
      <c r="B132" s="156"/>
      <c r="C132" s="157"/>
      <c r="D132" s="157"/>
      <c r="E132" s="131"/>
      <c r="F132" s="153" t="str">
        <f>IF(A132="","",IFERROR(INDEX(Table_Complete_CGNC_PCG!$E:$E,MATCH(L132,Table_Complete_CGNC_PCG!$I:$I,0)),"? Non mappe"))</f>
        <v/>
      </c>
      <c r="G132" s="149" t="str">
        <f>IF(A132="","",IFERROR(INDEX(Table_Complete_CGNC_PCG!$F:$F,MATCH(L132,Table_Complete_CGNC_PCG!$I:$I,0)),"Non trouve — ajouter dans la table"))</f>
        <v/>
      </c>
      <c r="H132" s="148" t="str">
        <f t="shared" si="10"/>
        <v/>
      </c>
      <c r="I132" s="148" t="str">
        <f t="shared" si="11"/>
        <v/>
      </c>
      <c r="J132" s="131"/>
      <c r="K132" s="143" t="str">
        <f>IF(A132="","",IFERROR(IF(F132="? Non mappe","Compte non trouve - mapper manuellement",IF(AND(ISNUMBER(SEARCH("516",L132)),D132&gt;0),"CAISSE CREDITRICE - anomalie a corriger",IF(IFERROR(INDEX(Table_Complete_CGNC_PCG!$D:$D,MATCH(L132,Table_Complete_CGNC_PCG!$I:$I,0)),"")="?","Retraitement requis - voir table","OK"))),"Erreur"))</f>
        <v/>
      </c>
      <c r="L132" s="141" t="str">
        <f t="shared" si="17"/>
        <v>0</v>
      </c>
      <c r="M132" t="str">
        <f t="shared" si="18"/>
        <v/>
      </c>
      <c r="N132" s="135" t="str">
        <f t="shared" ref="N132:U147" si="19">IF(M132="","",IF(AND(LEN(M132)&gt;3,RIGHT(M132,1)="0"),LEFT(M132,LEN(M132)-1),M132))</f>
        <v/>
      </c>
      <c r="O132" s="135" t="str">
        <f t="shared" si="19"/>
        <v/>
      </c>
      <c r="P132" s="135" t="str">
        <f t="shared" si="19"/>
        <v/>
      </c>
      <c r="Q132" s="135" t="str">
        <f t="shared" si="19"/>
        <v/>
      </c>
      <c r="R132" s="135" t="str">
        <f t="shared" si="19"/>
        <v/>
      </c>
      <c r="S132" s="135" t="str">
        <f t="shared" si="19"/>
        <v/>
      </c>
      <c r="T132" s="135" t="str">
        <f t="shared" si="19"/>
        <v/>
      </c>
      <c r="U132" s="135" t="str">
        <f t="shared" si="19"/>
        <v/>
      </c>
    </row>
    <row r="133" spans="1:21" ht="15" hidden="1" customHeight="1" x14ac:dyDescent="0.2">
      <c r="A133" s="163"/>
      <c r="B133" s="154"/>
      <c r="C133" s="155"/>
      <c r="D133" s="155"/>
      <c r="E133" s="131"/>
      <c r="F133" s="146" t="str">
        <f>IF(A133="","",IFERROR(INDEX(Table_Complete_CGNC_PCG!$E:$E,MATCH(L133,Table_Complete_CGNC_PCG!$I:$I,0)),"? Non mappe"))</f>
        <v/>
      </c>
      <c r="G133" s="147" t="str">
        <f>IF(A133="","",IFERROR(INDEX(Table_Complete_CGNC_PCG!$F:$F,MATCH(L133,Table_Complete_CGNC_PCG!$I:$I,0)),"Non trouve — ajouter dans la table"))</f>
        <v/>
      </c>
      <c r="H133" s="148" t="str">
        <f t="shared" si="10"/>
        <v/>
      </c>
      <c r="I133" s="148" t="str">
        <f t="shared" si="11"/>
        <v/>
      </c>
      <c r="J133" s="131"/>
      <c r="K133" s="143" t="str">
        <f>IF(A133="","",IFERROR(IF(F133="? Non mappe","Compte non trouve - mapper manuellement",IF(AND(ISNUMBER(SEARCH("516",L133)),D133&gt;0),"CAISSE CREDITRICE - anomalie a corriger",IF(IFERROR(INDEX(Table_Complete_CGNC_PCG!$D:$D,MATCH(L133,Table_Complete_CGNC_PCG!$I:$I,0)),"")="?","Retraitement requis - voir table","OK"))),"Erreur"))</f>
        <v/>
      </c>
      <c r="L133" s="141" t="str">
        <f t="shared" si="17"/>
        <v>0</v>
      </c>
      <c r="M133" t="str">
        <f t="shared" si="18"/>
        <v/>
      </c>
      <c r="N133" s="135" t="str">
        <f t="shared" si="19"/>
        <v/>
      </c>
      <c r="O133" s="135" t="str">
        <f t="shared" si="19"/>
        <v/>
      </c>
      <c r="P133" s="135" t="str">
        <f t="shared" si="19"/>
        <v/>
      </c>
      <c r="Q133" s="135" t="str">
        <f t="shared" si="19"/>
        <v/>
      </c>
      <c r="R133" s="135" t="str">
        <f t="shared" si="19"/>
        <v/>
      </c>
      <c r="S133" s="135" t="str">
        <f t="shared" si="19"/>
        <v/>
      </c>
      <c r="T133" s="135" t="str">
        <f t="shared" si="19"/>
        <v/>
      </c>
      <c r="U133" s="135" t="str">
        <f t="shared" si="19"/>
        <v/>
      </c>
    </row>
    <row r="134" spans="1:21" ht="15" hidden="1" customHeight="1" x14ac:dyDescent="0.2">
      <c r="A134" s="165"/>
      <c r="B134" s="156"/>
      <c r="C134" s="157"/>
      <c r="D134" s="157"/>
      <c r="E134" s="131"/>
      <c r="F134" s="153" t="str">
        <f>IF(A134="","",IFERROR(INDEX(Table_Complete_CGNC_PCG!$E:$E,MATCH(L134,Table_Complete_CGNC_PCG!$I:$I,0)),"? Non mappe"))</f>
        <v/>
      </c>
      <c r="G134" s="149" t="str">
        <f>IF(A134="","",IFERROR(INDEX(Table_Complete_CGNC_PCG!$F:$F,MATCH(L134,Table_Complete_CGNC_PCG!$I:$I,0)),"Non trouve — ajouter dans la table"))</f>
        <v/>
      </c>
      <c r="H134" s="148" t="str">
        <f t="shared" ref="H134:H177" si="20">IF(OR(A134="",C134="",C134=0),"",ROUND(C134/$C$2,2))</f>
        <v/>
      </c>
      <c r="I134" s="148" t="str">
        <f t="shared" ref="I134:I177" si="21">IF(OR(A134="",D134="",D134=0),"",ROUND(D134/$C$2,2))</f>
        <v/>
      </c>
      <c r="J134" s="131"/>
      <c r="K134" s="143" t="str">
        <f>IF(A134="","",IFERROR(IF(F134="? Non mappe","Compte non trouve - mapper manuellement",IF(AND(ISNUMBER(SEARCH("516",L134)),D134&gt;0),"CAISSE CREDITRICE - anomalie a corriger",IF(IFERROR(INDEX(Table_Complete_CGNC_PCG!$D:$D,MATCH(L134,Table_Complete_CGNC_PCG!$I:$I,0)),"")="?","Retraitement requis - voir table","OK"))),"Erreur"))</f>
        <v/>
      </c>
      <c r="L134" s="141" t="str">
        <f t="shared" si="17"/>
        <v>0</v>
      </c>
      <c r="M134" t="str">
        <f t="shared" si="18"/>
        <v/>
      </c>
      <c r="N134" s="135" t="str">
        <f t="shared" si="19"/>
        <v/>
      </c>
      <c r="O134" s="135" t="str">
        <f t="shared" si="19"/>
        <v/>
      </c>
      <c r="P134" s="135" t="str">
        <f t="shared" si="19"/>
        <v/>
      </c>
      <c r="Q134" s="135" t="str">
        <f t="shared" si="19"/>
        <v/>
      </c>
      <c r="R134" s="135" t="str">
        <f t="shared" si="19"/>
        <v/>
      </c>
      <c r="S134" s="135" t="str">
        <f t="shared" si="19"/>
        <v/>
      </c>
      <c r="T134" s="135" t="str">
        <f t="shared" si="19"/>
        <v/>
      </c>
      <c r="U134" s="135" t="str">
        <f t="shared" si="19"/>
        <v/>
      </c>
    </row>
    <row r="135" spans="1:21" ht="15" customHeight="1" x14ac:dyDescent="0.2">
      <c r="A135" s="163"/>
      <c r="B135" s="154"/>
      <c r="C135" s="155"/>
      <c r="D135" s="155"/>
      <c r="E135" s="131"/>
      <c r="F135" s="146" t="str">
        <f>IF(A135="","",IFERROR(INDEX(Table_Complete_CGNC_PCG!$E:$E,MATCH(L135,Table_Complete_CGNC_PCG!$I:$I,0)),"? Non mappe"))</f>
        <v/>
      </c>
      <c r="G135" s="147" t="str">
        <f>IF(A135="","",IFERROR(INDEX(Table_Complete_CGNC_PCG!$F:$F,MATCH(L135,Table_Complete_CGNC_PCG!$I:$I,0)),"Non trouve — ajouter dans la table"))</f>
        <v/>
      </c>
      <c r="H135" s="148" t="str">
        <f t="shared" si="20"/>
        <v/>
      </c>
      <c r="I135" s="148" t="str">
        <f t="shared" si="21"/>
        <v/>
      </c>
      <c r="J135" s="131"/>
      <c r="K135" s="143" t="str">
        <f>IF(A135="","",IFERROR(IF(F135="? Non mappe","Compte non trouve - mapper manuellement",IF(AND(ISNUMBER(SEARCH("516",L135)),D135&gt;0),"CAISSE CREDITRICE - anomalie a corriger",IF(IFERROR(INDEX(Table_Complete_CGNC_PCG!$D:$D,MATCH(L135,Table_Complete_CGNC_PCG!$I:$I,0)),"")="?","Retraitement requis - voir table","OK"))),"Erreur"))</f>
        <v/>
      </c>
      <c r="L135" s="141" t="str">
        <f t="shared" si="17"/>
        <v>0</v>
      </c>
      <c r="M135" t="str">
        <f t="shared" si="18"/>
        <v/>
      </c>
      <c r="N135" s="135" t="str">
        <f t="shared" si="19"/>
        <v/>
      </c>
      <c r="O135" s="135" t="str">
        <f t="shared" si="19"/>
        <v/>
      </c>
      <c r="P135" s="135" t="str">
        <f t="shared" si="19"/>
        <v/>
      </c>
      <c r="Q135" s="135" t="str">
        <f t="shared" si="19"/>
        <v/>
      </c>
      <c r="R135" s="135" t="str">
        <f t="shared" si="19"/>
        <v/>
      </c>
      <c r="S135" s="135" t="str">
        <f t="shared" si="19"/>
        <v/>
      </c>
      <c r="T135" s="135" t="str">
        <f t="shared" si="19"/>
        <v/>
      </c>
      <c r="U135" s="135" t="str">
        <f t="shared" si="19"/>
        <v/>
      </c>
    </row>
    <row r="136" spans="1:21" ht="15" hidden="1" customHeight="1" x14ac:dyDescent="0.2">
      <c r="A136" s="165"/>
      <c r="B136" s="156"/>
      <c r="C136" s="157"/>
      <c r="D136" s="157"/>
      <c r="E136" s="131"/>
      <c r="F136" s="153" t="str">
        <f>IF(A136="","",IFERROR(INDEX(Table_Complete_CGNC_PCG!$E:$E,MATCH(L136,Table_Complete_CGNC_PCG!$I:$I,0)),"? Non mappe"))</f>
        <v/>
      </c>
      <c r="G136" s="149" t="str">
        <f>IF(A136="","",IFERROR(INDEX(Table_Complete_CGNC_PCG!$F:$F,MATCH(L136,Table_Complete_CGNC_PCG!$I:$I,0)),"Non trouve — ajouter dans la table"))</f>
        <v/>
      </c>
      <c r="H136" s="148" t="str">
        <f t="shared" si="20"/>
        <v/>
      </c>
      <c r="I136" s="148" t="str">
        <f t="shared" si="21"/>
        <v/>
      </c>
      <c r="J136" s="131"/>
      <c r="K136" s="143" t="str">
        <f>IF(A136="","",IFERROR(IF(F136="? Non mappe","Compte non trouve - mapper manuellement",IF(AND(ISNUMBER(SEARCH("516",L136)),D136&gt;0),"CAISSE CREDITRICE - anomalie a corriger",IF(IFERROR(INDEX(Table_Complete_CGNC_PCG!$D:$D,MATCH(L136,Table_Complete_CGNC_PCG!$I:$I,0)),"")="?","Retraitement requis - voir table","OK"))),"Erreur"))</f>
        <v/>
      </c>
      <c r="L136" s="141" t="str">
        <f t="shared" si="17"/>
        <v>0</v>
      </c>
      <c r="M136" t="str">
        <f t="shared" si="18"/>
        <v/>
      </c>
      <c r="N136" s="135" t="str">
        <f t="shared" si="19"/>
        <v/>
      </c>
      <c r="O136" s="135" t="str">
        <f t="shared" si="19"/>
        <v/>
      </c>
      <c r="P136" s="135" t="str">
        <f t="shared" si="19"/>
        <v/>
      </c>
      <c r="Q136" s="135" t="str">
        <f t="shared" si="19"/>
        <v/>
      </c>
      <c r="R136" s="135" t="str">
        <f t="shared" si="19"/>
        <v/>
      </c>
      <c r="S136" s="135" t="str">
        <f t="shared" si="19"/>
        <v/>
      </c>
      <c r="T136" s="135" t="str">
        <f t="shared" si="19"/>
        <v/>
      </c>
      <c r="U136" s="135" t="str">
        <f t="shared" si="19"/>
        <v/>
      </c>
    </row>
    <row r="137" spans="1:21" ht="15" hidden="1" customHeight="1" x14ac:dyDescent="0.2">
      <c r="A137" s="163"/>
      <c r="B137" s="154"/>
      <c r="C137" s="155"/>
      <c r="D137" s="155"/>
      <c r="E137" s="131"/>
      <c r="F137" s="146" t="str">
        <f>IF(A137="","",IFERROR(INDEX(Table_Complete_CGNC_PCG!$E:$E,MATCH(L137,Table_Complete_CGNC_PCG!$I:$I,0)),"? Non mappe"))</f>
        <v/>
      </c>
      <c r="G137" s="147" t="str">
        <f>IF(A137="","",IFERROR(INDEX(Table_Complete_CGNC_PCG!$F:$F,MATCH(L137,Table_Complete_CGNC_PCG!$I:$I,0)),"Non trouve — ajouter dans la table"))</f>
        <v/>
      </c>
      <c r="H137" s="148" t="str">
        <f t="shared" si="20"/>
        <v/>
      </c>
      <c r="I137" s="148" t="str">
        <f t="shared" si="21"/>
        <v/>
      </c>
      <c r="J137" s="131"/>
      <c r="K137" s="143" t="str">
        <f>IF(A137="","",IFERROR(IF(F137="? Non mappe","Compte non trouve - mapper manuellement",IF(AND(ISNUMBER(SEARCH("516",L137)),D137&gt;0),"CAISSE CREDITRICE - anomalie a corriger",IF(IFERROR(INDEX(Table_Complete_CGNC_PCG!$D:$D,MATCH(L137,Table_Complete_CGNC_PCG!$I:$I,0)),"")="?","Retraitement requis - voir table","OK"))),"Erreur"))</f>
        <v/>
      </c>
      <c r="L137" s="141" t="str">
        <f t="shared" si="17"/>
        <v>0</v>
      </c>
      <c r="M137" t="str">
        <f t="shared" si="18"/>
        <v/>
      </c>
      <c r="N137" s="135" t="str">
        <f t="shared" si="19"/>
        <v/>
      </c>
      <c r="O137" s="135" t="str">
        <f t="shared" si="19"/>
        <v/>
      </c>
      <c r="P137" s="135" t="str">
        <f t="shared" si="19"/>
        <v/>
      </c>
      <c r="Q137" s="135" t="str">
        <f t="shared" si="19"/>
        <v/>
      </c>
      <c r="R137" s="135" t="str">
        <f t="shared" si="19"/>
        <v/>
      </c>
      <c r="S137" s="135" t="str">
        <f t="shared" si="19"/>
        <v/>
      </c>
      <c r="T137" s="135" t="str">
        <f t="shared" si="19"/>
        <v/>
      </c>
      <c r="U137" s="135" t="str">
        <f t="shared" si="19"/>
        <v/>
      </c>
    </row>
    <row r="138" spans="1:21" ht="15" hidden="1" customHeight="1" x14ac:dyDescent="0.2">
      <c r="A138" s="165"/>
      <c r="B138" s="156"/>
      <c r="C138" s="157"/>
      <c r="D138" s="157"/>
      <c r="E138" s="131"/>
      <c r="F138" s="153" t="str">
        <f>IF(A138="","",IFERROR(INDEX(Table_Complete_CGNC_PCG!$E:$E,MATCH(L138,Table_Complete_CGNC_PCG!$I:$I,0)),"? Non mappe"))</f>
        <v/>
      </c>
      <c r="G138" s="149" t="str">
        <f>IF(A138="","",IFERROR(INDEX(Table_Complete_CGNC_PCG!$F:$F,MATCH(L138,Table_Complete_CGNC_PCG!$I:$I,0)),"Non trouve — ajouter dans la table"))</f>
        <v/>
      </c>
      <c r="H138" s="148" t="str">
        <f t="shared" si="20"/>
        <v/>
      </c>
      <c r="I138" s="148" t="str">
        <f t="shared" si="21"/>
        <v/>
      </c>
      <c r="J138" s="131"/>
      <c r="K138" s="143" t="str">
        <f>IF(A138="","",IFERROR(IF(F138="? Non mappe","Compte non trouve - mapper manuellement",IF(AND(ISNUMBER(SEARCH("516",L138)),D138&gt;0),"CAISSE CREDITRICE - anomalie a corriger",IF(IFERROR(INDEX(Table_Complete_CGNC_PCG!$D:$D,MATCH(L138,Table_Complete_CGNC_PCG!$I:$I,0)),"")="?","Retraitement requis - voir table","OK"))),"Erreur"))</f>
        <v/>
      </c>
      <c r="L138" s="141" t="str">
        <f t="shared" si="17"/>
        <v>0</v>
      </c>
      <c r="M138" t="str">
        <f t="shared" si="18"/>
        <v/>
      </c>
      <c r="N138" s="135" t="str">
        <f t="shared" si="19"/>
        <v/>
      </c>
      <c r="O138" s="135" t="str">
        <f t="shared" si="19"/>
        <v/>
      </c>
      <c r="P138" s="135" t="str">
        <f t="shared" si="19"/>
        <v/>
      </c>
      <c r="Q138" s="135" t="str">
        <f t="shared" si="19"/>
        <v/>
      </c>
      <c r="R138" s="135" t="str">
        <f t="shared" si="19"/>
        <v/>
      </c>
      <c r="S138" s="135" t="str">
        <f t="shared" si="19"/>
        <v/>
      </c>
      <c r="T138" s="135" t="str">
        <f t="shared" si="19"/>
        <v/>
      </c>
      <c r="U138" s="135" t="str">
        <f t="shared" si="19"/>
        <v/>
      </c>
    </row>
    <row r="139" spans="1:21" ht="15" hidden="1" customHeight="1" x14ac:dyDescent="0.2">
      <c r="A139" s="163"/>
      <c r="B139" s="154"/>
      <c r="C139" s="155"/>
      <c r="D139" s="155"/>
      <c r="E139" s="131"/>
      <c r="F139" s="146" t="str">
        <f>IF(A139="","",IFERROR(INDEX(Table_Complete_CGNC_PCG!$E:$E,MATCH(L139,Table_Complete_CGNC_PCG!$I:$I,0)),"? Non mappe"))</f>
        <v/>
      </c>
      <c r="G139" s="147" t="str">
        <f>IF(A139="","",IFERROR(INDEX(Table_Complete_CGNC_PCG!$F:$F,MATCH(L139,Table_Complete_CGNC_PCG!$I:$I,0)),"Non trouve — ajouter dans la table"))</f>
        <v/>
      </c>
      <c r="H139" s="148" t="str">
        <f t="shared" si="20"/>
        <v/>
      </c>
      <c r="I139" s="148" t="str">
        <f t="shared" si="21"/>
        <v/>
      </c>
      <c r="J139" s="131"/>
      <c r="K139" s="143" t="str">
        <f>IF(A139="","",IFERROR(IF(F139="? Non mappe","Compte non trouve - mapper manuellement",IF(AND(ISNUMBER(SEARCH("516",L139)),D139&gt;0),"CAISSE CREDITRICE - anomalie a corriger",IF(IFERROR(INDEX(Table_Complete_CGNC_PCG!$D:$D,MATCH(L139,Table_Complete_CGNC_PCG!$I:$I,0)),"")="?","Retraitement requis - voir table","OK"))),"Erreur"))</f>
        <v/>
      </c>
      <c r="L139" s="141" t="str">
        <f t="shared" si="17"/>
        <v>0</v>
      </c>
      <c r="M139" t="str">
        <f t="shared" si="18"/>
        <v/>
      </c>
      <c r="N139" s="135" t="str">
        <f t="shared" si="19"/>
        <v/>
      </c>
      <c r="O139" s="135" t="str">
        <f t="shared" si="19"/>
        <v/>
      </c>
      <c r="P139" s="135" t="str">
        <f t="shared" si="19"/>
        <v/>
      </c>
      <c r="Q139" s="135" t="str">
        <f t="shared" si="19"/>
        <v/>
      </c>
      <c r="R139" s="135" t="str">
        <f t="shared" si="19"/>
        <v/>
      </c>
      <c r="S139" s="135" t="str">
        <f t="shared" si="19"/>
        <v/>
      </c>
      <c r="T139" s="135" t="str">
        <f t="shared" si="19"/>
        <v/>
      </c>
      <c r="U139" s="135" t="str">
        <f t="shared" si="19"/>
        <v/>
      </c>
    </row>
    <row r="140" spans="1:21" ht="15" hidden="1" customHeight="1" x14ac:dyDescent="0.2">
      <c r="A140" s="165"/>
      <c r="B140" s="156"/>
      <c r="C140" s="157"/>
      <c r="D140" s="157"/>
      <c r="E140" s="131"/>
      <c r="F140" s="153" t="str">
        <f>IF(A140="","",IFERROR(INDEX(Table_Complete_CGNC_PCG!$E:$E,MATCH(L140,Table_Complete_CGNC_PCG!$I:$I,0)),"? Non mappe"))</f>
        <v/>
      </c>
      <c r="G140" s="149" t="str">
        <f>IF(A140="","",IFERROR(INDEX(Table_Complete_CGNC_PCG!$F:$F,MATCH(L140,Table_Complete_CGNC_PCG!$I:$I,0)),"Non trouve — ajouter dans la table"))</f>
        <v/>
      </c>
      <c r="H140" s="148" t="str">
        <f t="shared" si="20"/>
        <v/>
      </c>
      <c r="I140" s="148" t="str">
        <f t="shared" si="21"/>
        <v/>
      </c>
      <c r="J140" s="131"/>
      <c r="K140" s="143" t="str">
        <f>IF(A140="","",IFERROR(IF(F140="? Non mappe","Compte non trouve - mapper manuellement",IF(AND(ISNUMBER(SEARCH("516",L140)),D140&gt;0),"CAISSE CREDITRICE - anomalie a corriger",IF(IFERROR(INDEX(Table_Complete_CGNC_PCG!$D:$D,MATCH(L140,Table_Complete_CGNC_PCG!$I:$I,0)),"")="?","Retraitement requis - voir table","OK"))),"Erreur"))</f>
        <v/>
      </c>
      <c r="L140" s="141" t="str">
        <f t="shared" si="17"/>
        <v>0</v>
      </c>
      <c r="M140" t="str">
        <f t="shared" si="18"/>
        <v/>
      </c>
      <c r="N140" s="135" t="str">
        <f t="shared" si="19"/>
        <v/>
      </c>
      <c r="O140" s="135" t="str">
        <f t="shared" si="19"/>
        <v/>
      </c>
      <c r="P140" s="135" t="str">
        <f t="shared" si="19"/>
        <v/>
      </c>
      <c r="Q140" s="135" t="str">
        <f t="shared" si="19"/>
        <v/>
      </c>
      <c r="R140" s="135" t="str">
        <f t="shared" si="19"/>
        <v/>
      </c>
      <c r="S140" s="135" t="str">
        <f t="shared" si="19"/>
        <v/>
      </c>
      <c r="T140" s="135" t="str">
        <f t="shared" si="19"/>
        <v/>
      </c>
      <c r="U140" s="135" t="str">
        <f t="shared" si="19"/>
        <v/>
      </c>
    </row>
    <row r="141" spans="1:21" ht="15" hidden="1" customHeight="1" x14ac:dyDescent="0.2">
      <c r="A141" s="163"/>
      <c r="B141" s="154"/>
      <c r="C141" s="155"/>
      <c r="D141" s="155"/>
      <c r="E141" s="131"/>
      <c r="F141" s="146" t="str">
        <f>IF(A141="","",IFERROR(INDEX(Table_Complete_CGNC_PCG!$E:$E,MATCH(L141,Table_Complete_CGNC_PCG!$I:$I,0)),"? Non mappe"))</f>
        <v/>
      </c>
      <c r="G141" s="147" t="str">
        <f>IF(A141="","",IFERROR(INDEX(Table_Complete_CGNC_PCG!$F:$F,MATCH(L141,Table_Complete_CGNC_PCG!$I:$I,0)),"Non trouve — ajouter dans la table"))</f>
        <v/>
      </c>
      <c r="H141" s="148" t="str">
        <f t="shared" si="20"/>
        <v/>
      </c>
      <c r="I141" s="148" t="str">
        <f t="shared" si="21"/>
        <v/>
      </c>
      <c r="J141" s="131"/>
      <c r="K141" s="143" t="str">
        <f>IF(A141="","",IFERROR(IF(F141="? Non mappe","Compte non trouve - mapper manuellement",IF(AND(ISNUMBER(SEARCH("516",L141)),D141&gt;0),"CAISSE CREDITRICE - anomalie a corriger",IF(IFERROR(INDEX(Table_Complete_CGNC_PCG!$D:$D,MATCH(L141,Table_Complete_CGNC_PCG!$I:$I,0)),"")="?","Retraitement requis - voir table","OK"))),"Erreur"))</f>
        <v/>
      </c>
      <c r="L141" s="141" t="str">
        <f t="shared" si="17"/>
        <v>0</v>
      </c>
      <c r="M141" t="str">
        <f t="shared" si="18"/>
        <v/>
      </c>
      <c r="N141" s="135" t="str">
        <f t="shared" si="19"/>
        <v/>
      </c>
      <c r="O141" s="135" t="str">
        <f t="shared" si="19"/>
        <v/>
      </c>
      <c r="P141" s="135" t="str">
        <f t="shared" si="19"/>
        <v/>
      </c>
      <c r="Q141" s="135" t="str">
        <f t="shared" si="19"/>
        <v/>
      </c>
      <c r="R141" s="135" t="str">
        <f t="shared" si="19"/>
        <v/>
      </c>
      <c r="S141" s="135" t="str">
        <f t="shared" si="19"/>
        <v/>
      </c>
      <c r="T141" s="135" t="str">
        <f t="shared" si="19"/>
        <v/>
      </c>
      <c r="U141" s="135" t="str">
        <f t="shared" si="19"/>
        <v/>
      </c>
    </row>
    <row r="142" spans="1:21" ht="15" hidden="1" customHeight="1" x14ac:dyDescent="0.2">
      <c r="A142" s="165"/>
      <c r="B142" s="156"/>
      <c r="C142" s="157"/>
      <c r="D142" s="157"/>
      <c r="E142" s="131"/>
      <c r="F142" s="153" t="str">
        <f>IF(A142="","",IFERROR(INDEX(Table_Complete_CGNC_PCG!$E:$E,MATCH(L142,Table_Complete_CGNC_PCG!$I:$I,0)),"? Non mappe"))</f>
        <v/>
      </c>
      <c r="G142" s="149" t="str">
        <f>IF(A142="","",IFERROR(INDEX(Table_Complete_CGNC_PCG!$F:$F,MATCH(L142,Table_Complete_CGNC_PCG!$I:$I,0)),"Non trouve — ajouter dans la table"))</f>
        <v/>
      </c>
      <c r="H142" s="148" t="str">
        <f t="shared" si="20"/>
        <v/>
      </c>
      <c r="I142" s="148" t="str">
        <f t="shared" si="21"/>
        <v/>
      </c>
      <c r="J142" s="131"/>
      <c r="K142" s="143" t="str">
        <f>IF(A142="","",IFERROR(IF(F142="? Non mappe","Compte non trouve - mapper manuellement",IF(AND(ISNUMBER(SEARCH("516",L142)),D142&gt;0),"CAISSE CREDITRICE - anomalie a corriger",IF(IFERROR(INDEX(Table_Complete_CGNC_PCG!$D:$D,MATCH(L142,Table_Complete_CGNC_PCG!$I:$I,0)),"")="?","Retraitement requis - voir table","OK"))),"Erreur"))</f>
        <v/>
      </c>
      <c r="L142" s="141" t="str">
        <f t="shared" si="17"/>
        <v>0</v>
      </c>
      <c r="M142" t="str">
        <f t="shared" si="18"/>
        <v/>
      </c>
      <c r="N142" s="135" t="str">
        <f t="shared" si="19"/>
        <v/>
      </c>
      <c r="O142" s="135" t="str">
        <f t="shared" si="19"/>
        <v/>
      </c>
      <c r="P142" s="135" t="str">
        <f t="shared" si="19"/>
        <v/>
      </c>
      <c r="Q142" s="135" t="str">
        <f t="shared" si="19"/>
        <v/>
      </c>
      <c r="R142" s="135" t="str">
        <f t="shared" si="19"/>
        <v/>
      </c>
      <c r="S142" s="135" t="str">
        <f t="shared" si="19"/>
        <v/>
      </c>
      <c r="T142" s="135" t="str">
        <f t="shared" si="19"/>
        <v/>
      </c>
      <c r="U142" s="135" t="str">
        <f t="shared" si="19"/>
        <v/>
      </c>
    </row>
    <row r="143" spans="1:21" ht="15" hidden="1" customHeight="1" x14ac:dyDescent="0.2">
      <c r="A143" s="163"/>
      <c r="B143" s="154"/>
      <c r="C143" s="155"/>
      <c r="D143" s="155"/>
      <c r="E143" s="131"/>
      <c r="F143" s="146" t="str">
        <f>IF(A143="","",IFERROR(INDEX(Table_Complete_CGNC_PCG!$E:$E,MATCH(L143,Table_Complete_CGNC_PCG!$I:$I,0)),"? Non mappe"))</f>
        <v/>
      </c>
      <c r="G143" s="147" t="str">
        <f>IF(A143="","",IFERROR(INDEX(Table_Complete_CGNC_PCG!$F:$F,MATCH(L143,Table_Complete_CGNC_PCG!$I:$I,0)),"Non trouve — ajouter dans la table"))</f>
        <v/>
      </c>
      <c r="H143" s="148" t="str">
        <f t="shared" si="20"/>
        <v/>
      </c>
      <c r="I143" s="148" t="str">
        <f t="shared" si="21"/>
        <v/>
      </c>
      <c r="J143" s="131"/>
      <c r="K143" s="143" t="str">
        <f>IF(A143="","",IFERROR(IF(F143="? Non mappe","Compte non trouve - mapper manuellement",IF(AND(ISNUMBER(SEARCH("516",L143)),D143&gt;0),"CAISSE CREDITRICE - anomalie a corriger",IF(IFERROR(INDEX(Table_Complete_CGNC_PCG!$D:$D,MATCH(L143,Table_Complete_CGNC_PCG!$I:$I,0)),"")="?","Retraitement requis - voir table","OK"))),"Erreur"))</f>
        <v/>
      </c>
      <c r="L143" s="141" t="str">
        <f t="shared" si="17"/>
        <v>0</v>
      </c>
      <c r="M143" t="str">
        <f t="shared" si="18"/>
        <v/>
      </c>
      <c r="N143" s="135" t="str">
        <f t="shared" si="19"/>
        <v/>
      </c>
      <c r="O143" s="135" t="str">
        <f t="shared" si="19"/>
        <v/>
      </c>
      <c r="P143" s="135" t="str">
        <f t="shared" si="19"/>
        <v/>
      </c>
      <c r="Q143" s="135" t="str">
        <f t="shared" si="19"/>
        <v/>
      </c>
      <c r="R143" s="135" t="str">
        <f t="shared" si="19"/>
        <v/>
      </c>
      <c r="S143" s="135" t="str">
        <f t="shared" si="19"/>
        <v/>
      </c>
      <c r="T143" s="135" t="str">
        <f t="shared" si="19"/>
        <v/>
      </c>
      <c r="U143" s="135" t="str">
        <f t="shared" si="19"/>
        <v/>
      </c>
    </row>
    <row r="144" spans="1:21" ht="15" hidden="1" customHeight="1" x14ac:dyDescent="0.2">
      <c r="A144" s="165"/>
      <c r="B144" s="156"/>
      <c r="C144" s="157"/>
      <c r="D144" s="157"/>
      <c r="E144" s="131"/>
      <c r="F144" s="153" t="str">
        <f>IF(A144="","",IFERROR(INDEX(Table_Complete_CGNC_PCG!$E:$E,MATCH(L144,Table_Complete_CGNC_PCG!$I:$I,0)),"? Non mappe"))</f>
        <v/>
      </c>
      <c r="G144" s="149" t="str">
        <f>IF(A144="","",IFERROR(INDEX(Table_Complete_CGNC_PCG!$F:$F,MATCH(L144,Table_Complete_CGNC_PCG!$I:$I,0)),"Non trouve — ajouter dans la table"))</f>
        <v/>
      </c>
      <c r="H144" s="148" t="str">
        <f t="shared" si="20"/>
        <v/>
      </c>
      <c r="I144" s="148" t="str">
        <f t="shared" si="21"/>
        <v/>
      </c>
      <c r="J144" s="131"/>
      <c r="K144" s="143" t="str">
        <f>IF(A144="","",IFERROR(IF(F144="? Non mappe","Compte non trouve - mapper manuellement",IF(AND(ISNUMBER(SEARCH("516",L144)),D144&gt;0),"CAISSE CREDITRICE - anomalie a corriger",IF(IFERROR(INDEX(Table_Complete_CGNC_PCG!$D:$D,MATCH(L144,Table_Complete_CGNC_PCG!$I:$I,0)),"")="?","Retraitement requis - voir table","OK"))),"Erreur"))</f>
        <v/>
      </c>
      <c r="L144" s="141" t="str">
        <f t="shared" si="17"/>
        <v>0</v>
      </c>
      <c r="M144" t="str">
        <f t="shared" si="18"/>
        <v/>
      </c>
      <c r="N144" s="135" t="str">
        <f t="shared" si="19"/>
        <v/>
      </c>
      <c r="O144" s="135" t="str">
        <f t="shared" si="19"/>
        <v/>
      </c>
      <c r="P144" s="135" t="str">
        <f t="shared" si="19"/>
        <v/>
      </c>
      <c r="Q144" s="135" t="str">
        <f t="shared" si="19"/>
        <v/>
      </c>
      <c r="R144" s="135" t="str">
        <f t="shared" si="19"/>
        <v/>
      </c>
      <c r="S144" s="135" t="str">
        <f t="shared" si="19"/>
        <v/>
      </c>
      <c r="T144" s="135" t="str">
        <f t="shared" si="19"/>
        <v/>
      </c>
      <c r="U144" s="135" t="str">
        <f t="shared" si="19"/>
        <v/>
      </c>
    </row>
    <row r="145" spans="1:21" ht="15" hidden="1" customHeight="1" x14ac:dyDescent="0.2">
      <c r="A145" s="163"/>
      <c r="B145" s="154"/>
      <c r="C145" s="155"/>
      <c r="D145" s="155"/>
      <c r="E145" s="131"/>
      <c r="F145" s="146" t="str">
        <f>IF(A145="","",IFERROR(INDEX(Table_Complete_CGNC_PCG!$E:$E,MATCH(L145,Table_Complete_CGNC_PCG!$I:$I,0)),"? Non mappe"))</f>
        <v/>
      </c>
      <c r="G145" s="147" t="str">
        <f>IF(A145="","",IFERROR(INDEX(Table_Complete_CGNC_PCG!$F:$F,MATCH(L145,Table_Complete_CGNC_PCG!$I:$I,0)),"Non trouve — ajouter dans la table"))</f>
        <v/>
      </c>
      <c r="H145" s="148" t="str">
        <f t="shared" si="20"/>
        <v/>
      </c>
      <c r="I145" s="148" t="str">
        <f t="shared" si="21"/>
        <v/>
      </c>
      <c r="J145" s="131"/>
      <c r="K145" s="143" t="str">
        <f>IF(A145="","",IFERROR(IF(F145="? Non mappe","Compte non trouve - mapper manuellement",IF(AND(ISNUMBER(SEARCH("516",L145)),D145&gt;0),"CAISSE CREDITRICE - anomalie a corriger",IF(IFERROR(INDEX(Table_Complete_CGNC_PCG!$D:$D,MATCH(L145,Table_Complete_CGNC_PCG!$I:$I,0)),"")="?","Retraitement requis - voir table","OK"))),"Erreur"))</f>
        <v/>
      </c>
      <c r="L145" s="141" t="str">
        <f t="shared" si="17"/>
        <v>0</v>
      </c>
      <c r="M145" t="str">
        <f t="shared" si="18"/>
        <v/>
      </c>
      <c r="N145" s="135" t="str">
        <f t="shared" si="19"/>
        <v/>
      </c>
      <c r="O145" s="135" t="str">
        <f t="shared" si="19"/>
        <v/>
      </c>
      <c r="P145" s="135" t="str">
        <f t="shared" si="19"/>
        <v/>
      </c>
      <c r="Q145" s="135" t="str">
        <f t="shared" si="19"/>
        <v/>
      </c>
      <c r="R145" s="135" t="str">
        <f t="shared" si="19"/>
        <v/>
      </c>
      <c r="S145" s="135" t="str">
        <f t="shared" si="19"/>
        <v/>
      </c>
      <c r="T145" s="135" t="str">
        <f t="shared" si="19"/>
        <v/>
      </c>
      <c r="U145" s="135" t="str">
        <f t="shared" si="19"/>
        <v/>
      </c>
    </row>
    <row r="146" spans="1:21" ht="15" hidden="1" customHeight="1" x14ac:dyDescent="0.2">
      <c r="A146" s="165"/>
      <c r="B146" s="156"/>
      <c r="C146" s="157"/>
      <c r="D146" s="157"/>
      <c r="E146" s="131"/>
      <c r="F146" s="153" t="str">
        <f>IF(A146="","",IFERROR(INDEX(Table_Complete_CGNC_PCG!$E:$E,MATCH(L146,Table_Complete_CGNC_PCG!$I:$I,0)),"? Non mappe"))</f>
        <v/>
      </c>
      <c r="G146" s="149" t="str">
        <f>IF(A146="","",IFERROR(INDEX(Table_Complete_CGNC_PCG!$F:$F,MATCH(L146,Table_Complete_CGNC_PCG!$I:$I,0)),"Non trouve — ajouter dans la table"))</f>
        <v/>
      </c>
      <c r="H146" s="148" t="str">
        <f t="shared" si="20"/>
        <v/>
      </c>
      <c r="I146" s="148" t="str">
        <f t="shared" si="21"/>
        <v/>
      </c>
      <c r="J146" s="131"/>
      <c r="K146" s="143" t="str">
        <f>IF(A146="","",IFERROR(IF(F146="? Non mappe","Compte non trouve - mapper manuellement",IF(AND(ISNUMBER(SEARCH("516",L146)),D146&gt;0),"CAISSE CREDITRICE - anomalie a corriger",IF(IFERROR(INDEX(Table_Complete_CGNC_PCG!$D:$D,MATCH(L146,Table_Complete_CGNC_PCG!$I:$I,0)),"")="?","Retraitement requis - voir table","OK"))),"Erreur"))</f>
        <v/>
      </c>
      <c r="L146" s="141" t="str">
        <f t="shared" si="17"/>
        <v>0</v>
      </c>
      <c r="M146" t="str">
        <f t="shared" si="18"/>
        <v/>
      </c>
      <c r="N146" s="135" t="str">
        <f t="shared" si="19"/>
        <v/>
      </c>
      <c r="O146" s="135" t="str">
        <f t="shared" si="19"/>
        <v/>
      </c>
      <c r="P146" s="135" t="str">
        <f t="shared" si="19"/>
        <v/>
      </c>
      <c r="Q146" s="135" t="str">
        <f t="shared" si="19"/>
        <v/>
      </c>
      <c r="R146" s="135" t="str">
        <f t="shared" si="19"/>
        <v/>
      </c>
      <c r="S146" s="135" t="str">
        <f t="shared" si="19"/>
        <v/>
      </c>
      <c r="T146" s="135" t="str">
        <f t="shared" si="19"/>
        <v/>
      </c>
      <c r="U146" s="135" t="str">
        <f t="shared" si="19"/>
        <v/>
      </c>
    </row>
    <row r="147" spans="1:21" ht="15" hidden="1" customHeight="1" x14ac:dyDescent="0.2">
      <c r="A147" s="163"/>
      <c r="B147" s="154"/>
      <c r="C147" s="155"/>
      <c r="D147" s="155"/>
      <c r="E147" s="131"/>
      <c r="F147" s="146" t="str">
        <f>IF(A147="","",IFERROR(INDEX(Table_Complete_CGNC_PCG!$E:$E,MATCH(L147,Table_Complete_CGNC_PCG!$I:$I,0)),"? Non mappe"))</f>
        <v/>
      </c>
      <c r="G147" s="147" t="str">
        <f>IF(A147="","",IFERROR(INDEX(Table_Complete_CGNC_PCG!$F:$F,MATCH(L147,Table_Complete_CGNC_PCG!$I:$I,0)),"Non trouve — ajouter dans la table"))</f>
        <v/>
      </c>
      <c r="H147" s="148" t="str">
        <f t="shared" si="20"/>
        <v/>
      </c>
      <c r="I147" s="148" t="str">
        <f t="shared" si="21"/>
        <v/>
      </c>
      <c r="J147" s="131"/>
      <c r="K147" s="143" t="str">
        <f>IF(A147="","",IFERROR(IF(F147="? Non mappe","Compte non trouve - mapper manuellement",IF(AND(ISNUMBER(SEARCH("516",L147)),D147&gt;0),"CAISSE CREDITRICE - anomalie a corriger",IF(IFERROR(INDEX(Table_Complete_CGNC_PCG!$D:$D,MATCH(L147,Table_Complete_CGNC_PCG!$I:$I,0)),"")="?","Retraitement requis - voir table","OK"))),"Erreur"))</f>
        <v/>
      </c>
      <c r="L147" s="141" t="str">
        <f t="shared" si="17"/>
        <v>0</v>
      </c>
      <c r="M147" t="str">
        <f t="shared" si="18"/>
        <v/>
      </c>
      <c r="N147" s="135" t="str">
        <f t="shared" si="19"/>
        <v/>
      </c>
      <c r="O147" s="135" t="str">
        <f t="shared" si="19"/>
        <v/>
      </c>
      <c r="P147" s="135" t="str">
        <f t="shared" si="19"/>
        <v/>
      </c>
      <c r="Q147" s="135" t="str">
        <f t="shared" si="19"/>
        <v/>
      </c>
      <c r="R147" s="135" t="str">
        <f t="shared" si="19"/>
        <v/>
      </c>
      <c r="S147" s="135" t="str">
        <f t="shared" si="19"/>
        <v/>
      </c>
      <c r="T147" s="135" t="str">
        <f t="shared" si="19"/>
        <v/>
      </c>
      <c r="U147" s="135" t="str">
        <f t="shared" si="19"/>
        <v/>
      </c>
    </row>
    <row r="148" spans="1:21" ht="15" hidden="1" customHeight="1" x14ac:dyDescent="0.2">
      <c r="A148" s="165"/>
      <c r="B148" s="156"/>
      <c r="C148" s="157"/>
      <c r="D148" s="157"/>
      <c r="E148" s="131"/>
      <c r="F148" s="153" t="str">
        <f>IF(A148="","",IFERROR(INDEX(Table_Complete_CGNC_PCG!$E:$E,MATCH(L148,Table_Complete_CGNC_PCG!$I:$I,0)),"? Non mappe"))</f>
        <v/>
      </c>
      <c r="G148" s="149" t="str">
        <f>IF(A148="","",IFERROR(INDEX(Table_Complete_CGNC_PCG!$F:$F,MATCH(L148,Table_Complete_CGNC_PCG!$I:$I,0)),"Non trouve — ajouter dans la table"))</f>
        <v/>
      </c>
      <c r="H148" s="148" t="str">
        <f t="shared" si="20"/>
        <v/>
      </c>
      <c r="I148" s="148" t="str">
        <f t="shared" si="21"/>
        <v/>
      </c>
      <c r="J148" s="131"/>
      <c r="K148" s="143" t="str">
        <f>IF(A148="","",IFERROR(IF(F148="? Non mappe","Compte non trouve - mapper manuellement",IF(AND(ISNUMBER(SEARCH("516",L148)),D148&gt;0),"CAISSE CREDITRICE - anomalie a corriger",IF(IFERROR(INDEX(Table_Complete_CGNC_PCG!$D:$D,MATCH(L148,Table_Complete_CGNC_PCG!$I:$I,0)),"")="?","Retraitement requis - voir table","OK"))),"Erreur"))</f>
        <v/>
      </c>
      <c r="L148" s="141" t="str">
        <f t="shared" si="17"/>
        <v>0</v>
      </c>
      <c r="M148" t="str">
        <f t="shared" si="18"/>
        <v/>
      </c>
      <c r="N148" s="135" t="str">
        <f t="shared" ref="N148:U163" si="22">IF(M148="","",IF(AND(LEN(M148)&gt;3,RIGHT(M148,1)="0"),LEFT(M148,LEN(M148)-1),M148))</f>
        <v/>
      </c>
      <c r="O148" s="135" t="str">
        <f t="shared" si="22"/>
        <v/>
      </c>
      <c r="P148" s="135" t="str">
        <f t="shared" si="22"/>
        <v/>
      </c>
      <c r="Q148" s="135" t="str">
        <f t="shared" si="22"/>
        <v/>
      </c>
      <c r="R148" s="135" t="str">
        <f t="shared" si="22"/>
        <v/>
      </c>
      <c r="S148" s="135" t="str">
        <f t="shared" si="22"/>
        <v/>
      </c>
      <c r="T148" s="135" t="str">
        <f t="shared" si="22"/>
        <v/>
      </c>
      <c r="U148" s="135" t="str">
        <f t="shared" si="22"/>
        <v/>
      </c>
    </row>
    <row r="149" spans="1:21" ht="15" hidden="1" customHeight="1" x14ac:dyDescent="0.2">
      <c r="A149" s="163"/>
      <c r="B149" s="154"/>
      <c r="C149" s="155"/>
      <c r="D149" s="155"/>
      <c r="E149" s="131"/>
      <c r="F149" s="146" t="str">
        <f>IF(A149="","",IFERROR(INDEX(Table_Complete_CGNC_PCG!$E:$E,MATCH(L149,Table_Complete_CGNC_PCG!$I:$I,0)),"? Non mappe"))</f>
        <v/>
      </c>
      <c r="G149" s="147" t="str">
        <f>IF(A149="","",IFERROR(INDEX(Table_Complete_CGNC_PCG!$F:$F,MATCH(L149,Table_Complete_CGNC_PCG!$I:$I,0)),"Non trouve — ajouter dans la table"))</f>
        <v/>
      </c>
      <c r="H149" s="148" t="str">
        <f t="shared" si="20"/>
        <v/>
      </c>
      <c r="I149" s="148" t="str">
        <f t="shared" si="21"/>
        <v/>
      </c>
      <c r="J149" s="131"/>
      <c r="K149" s="143" t="str">
        <f>IF(A149="","",IFERROR(IF(F149="? Non mappe","Compte non trouve - mapper manuellement",IF(AND(ISNUMBER(SEARCH("516",L149)),D149&gt;0),"CAISSE CREDITRICE - anomalie a corriger",IF(IFERROR(INDEX(Table_Complete_CGNC_PCG!$D:$D,MATCH(L149,Table_Complete_CGNC_PCG!$I:$I,0)),"")="?","Retraitement requis - voir table","OK"))),"Erreur"))</f>
        <v/>
      </c>
      <c r="L149" s="141" t="str">
        <f t="shared" si="17"/>
        <v>0</v>
      </c>
      <c r="M149" t="str">
        <f t="shared" si="18"/>
        <v/>
      </c>
      <c r="N149" s="135" t="str">
        <f t="shared" si="22"/>
        <v/>
      </c>
      <c r="O149" s="135" t="str">
        <f t="shared" si="22"/>
        <v/>
      </c>
      <c r="P149" s="135" t="str">
        <f t="shared" si="22"/>
        <v/>
      </c>
      <c r="Q149" s="135" t="str">
        <f t="shared" si="22"/>
        <v/>
      </c>
      <c r="R149" s="135" t="str">
        <f t="shared" si="22"/>
        <v/>
      </c>
      <c r="S149" s="135" t="str">
        <f t="shared" si="22"/>
        <v/>
      </c>
      <c r="T149" s="135" t="str">
        <f t="shared" si="22"/>
        <v/>
      </c>
      <c r="U149" s="135" t="str">
        <f t="shared" si="22"/>
        <v/>
      </c>
    </row>
    <row r="150" spans="1:21" ht="15" hidden="1" customHeight="1" x14ac:dyDescent="0.2">
      <c r="A150" s="165"/>
      <c r="B150" s="156"/>
      <c r="C150" s="157"/>
      <c r="D150" s="157"/>
      <c r="E150" s="131"/>
      <c r="F150" s="153" t="str">
        <f>IF(A150="","",IFERROR(INDEX(Table_Complete_CGNC_PCG!$E:$E,MATCH(L150,Table_Complete_CGNC_PCG!$I:$I,0)),"? Non mappe"))</f>
        <v/>
      </c>
      <c r="G150" s="149" t="str">
        <f>IF(A150="","",IFERROR(INDEX(Table_Complete_CGNC_PCG!$F:$F,MATCH(L150,Table_Complete_CGNC_PCG!$I:$I,0)),"Non trouve — ajouter dans la table"))</f>
        <v/>
      </c>
      <c r="H150" s="148" t="str">
        <f t="shared" si="20"/>
        <v/>
      </c>
      <c r="I150" s="148" t="str">
        <f t="shared" si="21"/>
        <v/>
      </c>
      <c r="J150" s="131"/>
      <c r="K150" s="143" t="str">
        <f>IF(A150="","",IFERROR(IF(F150="? Non mappe","Compte non trouve - mapper manuellement",IF(AND(ISNUMBER(SEARCH("516",L150)),D150&gt;0),"CAISSE CREDITRICE - anomalie a corriger",IF(IFERROR(INDEX(Table_Complete_CGNC_PCG!$D:$D,MATCH(L150,Table_Complete_CGNC_PCG!$I:$I,0)),"")="?","Retraitement requis - voir table","OK"))),"Erreur"))</f>
        <v/>
      </c>
      <c r="L150" s="141" t="str">
        <f t="shared" si="17"/>
        <v>0</v>
      </c>
      <c r="M150" t="str">
        <f t="shared" si="18"/>
        <v/>
      </c>
      <c r="N150" s="135" t="str">
        <f t="shared" si="22"/>
        <v/>
      </c>
      <c r="O150" s="135" t="str">
        <f t="shared" si="22"/>
        <v/>
      </c>
      <c r="P150" s="135" t="str">
        <f t="shared" si="22"/>
        <v/>
      </c>
      <c r="Q150" s="135" t="str">
        <f t="shared" si="22"/>
        <v/>
      </c>
      <c r="R150" s="135" t="str">
        <f t="shared" si="22"/>
        <v/>
      </c>
      <c r="S150" s="135" t="str">
        <f t="shared" si="22"/>
        <v/>
      </c>
      <c r="T150" s="135" t="str">
        <f t="shared" si="22"/>
        <v/>
      </c>
      <c r="U150" s="135" t="str">
        <f t="shared" si="22"/>
        <v/>
      </c>
    </row>
    <row r="151" spans="1:21" ht="15" hidden="1" customHeight="1" x14ac:dyDescent="0.2">
      <c r="A151" s="163"/>
      <c r="B151" s="154"/>
      <c r="C151" s="155"/>
      <c r="D151" s="155"/>
      <c r="E151" s="131"/>
      <c r="F151" s="146" t="str">
        <f>IF(A151="","",IFERROR(INDEX(Table_Complete_CGNC_PCG!$E:$E,MATCH(L151,Table_Complete_CGNC_PCG!$I:$I,0)),"? Non mappe"))</f>
        <v/>
      </c>
      <c r="G151" s="147" t="str">
        <f>IF(A151="","",IFERROR(INDEX(Table_Complete_CGNC_PCG!$F:$F,MATCH(L151,Table_Complete_CGNC_PCG!$I:$I,0)),"Non trouve — ajouter dans la table"))</f>
        <v/>
      </c>
      <c r="H151" s="148" t="str">
        <f t="shared" si="20"/>
        <v/>
      </c>
      <c r="I151" s="148" t="str">
        <f t="shared" si="21"/>
        <v/>
      </c>
      <c r="J151" s="131"/>
      <c r="K151" s="143" t="str">
        <f>IF(A151="","",IFERROR(IF(F151="? Non mappe","Compte non trouve - mapper manuellement",IF(AND(ISNUMBER(SEARCH("516",L151)),D151&gt;0),"CAISSE CREDITRICE - anomalie a corriger",IF(IFERROR(INDEX(Table_Complete_CGNC_PCG!$D:$D,MATCH(L151,Table_Complete_CGNC_PCG!$I:$I,0)),"")="?","Retraitement requis - voir table","OK"))),"Erreur"))</f>
        <v/>
      </c>
      <c r="L151" s="141" t="str">
        <f t="shared" si="17"/>
        <v>0</v>
      </c>
      <c r="M151" t="str">
        <f t="shared" si="18"/>
        <v/>
      </c>
      <c r="N151" s="135" t="str">
        <f t="shared" si="22"/>
        <v/>
      </c>
      <c r="O151" s="135" t="str">
        <f t="shared" si="22"/>
        <v/>
      </c>
      <c r="P151" s="135" t="str">
        <f t="shared" si="22"/>
        <v/>
      </c>
      <c r="Q151" s="135" t="str">
        <f t="shared" si="22"/>
        <v/>
      </c>
      <c r="R151" s="135" t="str">
        <f t="shared" si="22"/>
        <v/>
      </c>
      <c r="S151" s="135" t="str">
        <f t="shared" si="22"/>
        <v/>
      </c>
      <c r="T151" s="135" t="str">
        <f t="shared" si="22"/>
        <v/>
      </c>
      <c r="U151" s="135" t="str">
        <f t="shared" si="22"/>
        <v/>
      </c>
    </row>
    <row r="152" spans="1:21" ht="15" hidden="1" customHeight="1" x14ac:dyDescent="0.2">
      <c r="A152" s="165"/>
      <c r="B152" s="156"/>
      <c r="C152" s="157"/>
      <c r="D152" s="157"/>
      <c r="E152" s="131"/>
      <c r="F152" s="153" t="str">
        <f>IF(A152="","",IFERROR(INDEX(Table_Complete_CGNC_PCG!$E:$E,MATCH(L152,Table_Complete_CGNC_PCG!$I:$I,0)),"? Non mappe"))</f>
        <v/>
      </c>
      <c r="G152" s="149" t="str">
        <f>IF(A152="","",IFERROR(INDEX(Table_Complete_CGNC_PCG!$F:$F,MATCH(L152,Table_Complete_CGNC_PCG!$I:$I,0)),"Non trouve — ajouter dans la table"))</f>
        <v/>
      </c>
      <c r="H152" s="148" t="str">
        <f t="shared" si="20"/>
        <v/>
      </c>
      <c r="I152" s="148" t="str">
        <f t="shared" si="21"/>
        <v/>
      </c>
      <c r="J152" s="131"/>
      <c r="K152" s="143" t="str">
        <f>IF(A152="","",IFERROR(IF(F152="? Non mappe","Compte non trouve - mapper manuellement",IF(AND(ISNUMBER(SEARCH("516",L152)),D152&gt;0),"CAISSE CREDITRICE - anomalie a corriger",IF(IFERROR(INDEX(Table_Complete_CGNC_PCG!$D:$D,MATCH(L152,Table_Complete_CGNC_PCG!$I:$I,0)),"")="?","Retraitement requis - voir table","OK"))),"Erreur"))</f>
        <v/>
      </c>
      <c r="L152" s="141" t="str">
        <f t="shared" si="17"/>
        <v>0</v>
      </c>
      <c r="M152" t="str">
        <f t="shared" si="18"/>
        <v/>
      </c>
      <c r="N152" s="135" t="str">
        <f t="shared" si="22"/>
        <v/>
      </c>
      <c r="O152" s="135" t="str">
        <f t="shared" si="22"/>
        <v/>
      </c>
      <c r="P152" s="135" t="str">
        <f t="shared" si="22"/>
        <v/>
      </c>
      <c r="Q152" s="135" t="str">
        <f t="shared" si="22"/>
        <v/>
      </c>
      <c r="R152" s="135" t="str">
        <f t="shared" si="22"/>
        <v/>
      </c>
      <c r="S152" s="135" t="str">
        <f t="shared" si="22"/>
        <v/>
      </c>
      <c r="T152" s="135" t="str">
        <f t="shared" si="22"/>
        <v/>
      </c>
      <c r="U152" s="135" t="str">
        <f t="shared" si="22"/>
        <v/>
      </c>
    </row>
    <row r="153" spans="1:21" ht="15" hidden="1" customHeight="1" x14ac:dyDescent="0.2">
      <c r="A153" s="163"/>
      <c r="B153" s="154"/>
      <c r="C153" s="155"/>
      <c r="D153" s="155"/>
      <c r="E153" s="131"/>
      <c r="F153" s="146" t="str">
        <f>IF(A153="","",IFERROR(INDEX(Table_Complete_CGNC_PCG!$E:$E,MATCH(L153,Table_Complete_CGNC_PCG!$I:$I,0)),"? Non mappe"))</f>
        <v/>
      </c>
      <c r="G153" s="147" t="str">
        <f>IF(A153="","",IFERROR(INDEX(Table_Complete_CGNC_PCG!$F:$F,MATCH(L153,Table_Complete_CGNC_PCG!$I:$I,0)),"Non trouve — ajouter dans la table"))</f>
        <v/>
      </c>
      <c r="H153" s="148" t="str">
        <f t="shared" si="20"/>
        <v/>
      </c>
      <c r="I153" s="148" t="str">
        <f t="shared" si="21"/>
        <v/>
      </c>
      <c r="J153" s="131"/>
      <c r="K153" s="143" t="str">
        <f>IF(A153="","",IFERROR(IF(F153="? Non mappe","Compte non trouve - mapper manuellement",IF(AND(ISNUMBER(SEARCH("516",L153)),D153&gt;0),"CAISSE CREDITRICE - anomalie a corriger",IF(IFERROR(INDEX(Table_Complete_CGNC_PCG!$D:$D,MATCH(L153,Table_Complete_CGNC_PCG!$I:$I,0)),"")="?","Retraitement requis - voir table","OK"))),"Erreur"))</f>
        <v/>
      </c>
      <c r="L153" s="141" t="str">
        <f t="shared" si="17"/>
        <v>0</v>
      </c>
      <c r="M153" t="str">
        <f t="shared" si="18"/>
        <v/>
      </c>
      <c r="N153" s="135" t="str">
        <f t="shared" si="22"/>
        <v/>
      </c>
      <c r="O153" s="135" t="str">
        <f t="shared" si="22"/>
        <v/>
      </c>
      <c r="P153" s="135" t="str">
        <f t="shared" si="22"/>
        <v/>
      </c>
      <c r="Q153" s="135" t="str">
        <f t="shared" si="22"/>
        <v/>
      </c>
      <c r="R153" s="135" t="str">
        <f t="shared" si="22"/>
        <v/>
      </c>
      <c r="S153" s="135" t="str">
        <f t="shared" si="22"/>
        <v/>
      </c>
      <c r="T153" s="135" t="str">
        <f t="shared" si="22"/>
        <v/>
      </c>
      <c r="U153" s="135" t="str">
        <f t="shared" si="22"/>
        <v/>
      </c>
    </row>
    <row r="154" spans="1:21" ht="15" hidden="1" customHeight="1" x14ac:dyDescent="0.2">
      <c r="A154" s="165"/>
      <c r="B154" s="156"/>
      <c r="C154" s="157"/>
      <c r="D154" s="157"/>
      <c r="E154" s="131"/>
      <c r="F154" s="153" t="str">
        <f>IF(A154="","",IFERROR(INDEX(Table_Complete_CGNC_PCG!$E:$E,MATCH(L154,Table_Complete_CGNC_PCG!$I:$I,0)),"? Non mappe"))</f>
        <v/>
      </c>
      <c r="G154" s="149" t="str">
        <f>IF(A154="","",IFERROR(INDEX(Table_Complete_CGNC_PCG!$F:$F,MATCH(L154,Table_Complete_CGNC_PCG!$I:$I,0)),"Non trouve — ajouter dans la table"))</f>
        <v/>
      </c>
      <c r="H154" s="148" t="str">
        <f t="shared" si="20"/>
        <v/>
      </c>
      <c r="I154" s="148" t="str">
        <f t="shared" si="21"/>
        <v/>
      </c>
      <c r="J154" s="131"/>
      <c r="K154" s="143" t="str">
        <f>IF(A154="","",IFERROR(IF(F154="? Non mappe","Compte non trouve - mapper manuellement",IF(AND(ISNUMBER(SEARCH("516",L154)),D154&gt;0),"CAISSE CREDITRICE - anomalie a corriger",IF(IFERROR(INDEX(Table_Complete_CGNC_PCG!$D:$D,MATCH(L154,Table_Complete_CGNC_PCG!$I:$I,0)),"")="?","Retraitement requis - voir table","OK"))),"Erreur"))</f>
        <v/>
      </c>
      <c r="L154" s="141" t="str">
        <f t="shared" si="17"/>
        <v>0</v>
      </c>
      <c r="M154" t="str">
        <f t="shared" si="18"/>
        <v/>
      </c>
      <c r="N154" s="135" t="str">
        <f t="shared" si="22"/>
        <v/>
      </c>
      <c r="O154" s="135" t="str">
        <f t="shared" si="22"/>
        <v/>
      </c>
      <c r="P154" s="135" t="str">
        <f t="shared" si="22"/>
        <v/>
      </c>
      <c r="Q154" s="135" t="str">
        <f t="shared" si="22"/>
        <v/>
      </c>
      <c r="R154" s="135" t="str">
        <f t="shared" si="22"/>
        <v/>
      </c>
      <c r="S154" s="135" t="str">
        <f t="shared" si="22"/>
        <v/>
      </c>
      <c r="T154" s="135" t="str">
        <f t="shared" si="22"/>
        <v/>
      </c>
      <c r="U154" s="135" t="str">
        <f t="shared" si="22"/>
        <v/>
      </c>
    </row>
    <row r="155" spans="1:21" ht="15" customHeight="1" x14ac:dyDescent="0.2">
      <c r="A155" s="163"/>
      <c r="B155" s="154"/>
      <c r="C155" s="155"/>
      <c r="D155" s="155"/>
      <c r="E155" s="131"/>
      <c r="F155" s="146" t="str">
        <f>IF(A155="","",IFERROR(INDEX(Table_Complete_CGNC_PCG!$E:$E,MATCH(L155,Table_Complete_CGNC_PCG!$I:$I,0)),"? Non mappe"))</f>
        <v/>
      </c>
      <c r="G155" s="147" t="str">
        <f>IF(A155="","",IFERROR(INDEX(Table_Complete_CGNC_PCG!$F:$F,MATCH(L155,Table_Complete_CGNC_PCG!$I:$I,0)),"Non trouve — ajouter dans la table"))</f>
        <v/>
      </c>
      <c r="H155" s="148" t="str">
        <f t="shared" si="20"/>
        <v/>
      </c>
      <c r="I155" s="148" t="str">
        <f t="shared" si="21"/>
        <v/>
      </c>
      <c r="J155" s="131"/>
      <c r="K155" s="143" t="str">
        <f>IF(A155="","",IFERROR(IF(F155="? Non mappe","Compte non trouve - mapper manuellement",IF(AND(ISNUMBER(SEARCH("516",L155)),D155&gt;0),"CAISSE CREDITRICE - anomalie a corriger",IF(IFERROR(INDEX(Table_Complete_CGNC_PCG!$D:$D,MATCH(L155,Table_Complete_CGNC_PCG!$I:$I,0)),"")="?","Retraitement requis - voir table","OK"))),"Erreur"))</f>
        <v/>
      </c>
      <c r="L155" s="141" t="str">
        <f t="shared" ref="L155:L186" si="23">LEFT(TEXT(A155,"0"),4)</f>
        <v>0</v>
      </c>
      <c r="M155" t="str">
        <f t="shared" ref="M155:M186" si="24">IF(A155="","",TRIM(A155&amp;""))</f>
        <v/>
      </c>
      <c r="N155" s="135" t="str">
        <f t="shared" si="22"/>
        <v/>
      </c>
      <c r="O155" s="135" t="str">
        <f t="shared" si="22"/>
        <v/>
      </c>
      <c r="P155" s="135" t="str">
        <f t="shared" si="22"/>
        <v/>
      </c>
      <c r="Q155" s="135" t="str">
        <f t="shared" si="22"/>
        <v/>
      </c>
      <c r="R155" s="135" t="str">
        <f t="shared" si="22"/>
        <v/>
      </c>
      <c r="S155" s="135" t="str">
        <f t="shared" si="22"/>
        <v/>
      </c>
      <c r="T155" s="135" t="str">
        <f t="shared" si="22"/>
        <v/>
      </c>
      <c r="U155" s="135" t="str">
        <f t="shared" si="22"/>
        <v/>
      </c>
    </row>
    <row r="156" spans="1:21" ht="15" hidden="1" customHeight="1" x14ac:dyDescent="0.2">
      <c r="A156" s="165"/>
      <c r="B156" s="156"/>
      <c r="C156" s="157"/>
      <c r="D156" s="157"/>
      <c r="E156" s="131"/>
      <c r="F156" s="153" t="str">
        <f>IF(A156="","",IFERROR(INDEX(Table_Complete_CGNC_PCG!$E:$E,MATCH(L156,Table_Complete_CGNC_PCG!$I:$I,0)),"? Non mappe"))</f>
        <v/>
      </c>
      <c r="G156" s="149" t="str">
        <f>IF(A156="","",IFERROR(INDEX(Table_Complete_CGNC_PCG!$F:$F,MATCH(L156,Table_Complete_CGNC_PCG!$I:$I,0)),"Non trouve — ajouter dans la table"))</f>
        <v/>
      </c>
      <c r="H156" s="148" t="str">
        <f t="shared" si="20"/>
        <v/>
      </c>
      <c r="I156" s="148" t="str">
        <f t="shared" si="21"/>
        <v/>
      </c>
      <c r="J156" s="131"/>
      <c r="K156" s="143" t="str">
        <f>IF(A156="","",IFERROR(IF(F156="? Non mappe","Compte non trouve - mapper manuellement",IF(AND(ISNUMBER(SEARCH("516",L156)),D156&gt;0),"CAISSE CREDITRICE - anomalie a corriger",IF(IFERROR(INDEX(Table_Complete_CGNC_PCG!$D:$D,MATCH(L156,Table_Complete_CGNC_PCG!$I:$I,0)),"")="?","Retraitement requis - voir table","OK"))),"Erreur"))</f>
        <v/>
      </c>
      <c r="L156" s="141" t="str">
        <f t="shared" si="23"/>
        <v>0</v>
      </c>
      <c r="M156" t="str">
        <f t="shared" si="24"/>
        <v/>
      </c>
      <c r="N156" s="135" t="str">
        <f t="shared" si="22"/>
        <v/>
      </c>
      <c r="O156" s="135" t="str">
        <f t="shared" si="22"/>
        <v/>
      </c>
      <c r="P156" s="135" t="str">
        <f t="shared" si="22"/>
        <v/>
      </c>
      <c r="Q156" s="135" t="str">
        <f t="shared" si="22"/>
        <v/>
      </c>
      <c r="R156" s="135" t="str">
        <f t="shared" si="22"/>
        <v/>
      </c>
      <c r="S156" s="135" t="str">
        <f t="shared" si="22"/>
        <v/>
      </c>
      <c r="T156" s="135" t="str">
        <f t="shared" si="22"/>
        <v/>
      </c>
      <c r="U156" s="135" t="str">
        <f t="shared" si="22"/>
        <v/>
      </c>
    </row>
    <row r="157" spans="1:21" ht="15" hidden="1" customHeight="1" x14ac:dyDescent="0.2">
      <c r="A157" s="163"/>
      <c r="B157" s="154"/>
      <c r="C157" s="155"/>
      <c r="D157" s="155"/>
      <c r="E157" s="131"/>
      <c r="F157" s="146" t="str">
        <f>IF(A157="","",IFERROR(INDEX(Table_Complete_CGNC_PCG!$E:$E,MATCH(L157,Table_Complete_CGNC_PCG!$I:$I,0)),"? Non mappe"))</f>
        <v/>
      </c>
      <c r="G157" s="147" t="str">
        <f>IF(A157="","",IFERROR(INDEX(Table_Complete_CGNC_PCG!$F:$F,MATCH(L157,Table_Complete_CGNC_PCG!$I:$I,0)),"Non trouve — ajouter dans la table"))</f>
        <v/>
      </c>
      <c r="H157" s="148" t="str">
        <f t="shared" si="20"/>
        <v/>
      </c>
      <c r="I157" s="148" t="str">
        <f t="shared" si="21"/>
        <v/>
      </c>
      <c r="J157" s="131"/>
      <c r="K157" s="143" t="str">
        <f>IF(A157="","",IFERROR(IF(F157="? Non mappe","Compte non trouve - mapper manuellement",IF(AND(ISNUMBER(SEARCH("516",L157)),D157&gt;0),"CAISSE CREDITRICE - anomalie a corriger",IF(IFERROR(INDEX(Table_Complete_CGNC_PCG!$D:$D,MATCH(L157,Table_Complete_CGNC_PCG!$I:$I,0)),"")="?","Retraitement requis - voir table","OK"))),"Erreur"))</f>
        <v/>
      </c>
      <c r="L157" s="141" t="str">
        <f t="shared" si="23"/>
        <v>0</v>
      </c>
      <c r="M157" t="str">
        <f t="shared" si="24"/>
        <v/>
      </c>
      <c r="N157" s="135" t="str">
        <f t="shared" si="22"/>
        <v/>
      </c>
      <c r="O157" s="135" t="str">
        <f t="shared" si="22"/>
        <v/>
      </c>
      <c r="P157" s="135" t="str">
        <f t="shared" si="22"/>
        <v/>
      </c>
      <c r="Q157" s="135" t="str">
        <f t="shared" si="22"/>
        <v/>
      </c>
      <c r="R157" s="135" t="str">
        <f t="shared" si="22"/>
        <v/>
      </c>
      <c r="S157" s="135" t="str">
        <f t="shared" si="22"/>
        <v/>
      </c>
      <c r="T157" s="135" t="str">
        <f t="shared" si="22"/>
        <v/>
      </c>
      <c r="U157" s="135" t="str">
        <f t="shared" si="22"/>
        <v/>
      </c>
    </row>
    <row r="158" spans="1:21" ht="15" hidden="1" customHeight="1" x14ac:dyDescent="0.2">
      <c r="A158" s="165"/>
      <c r="B158" s="156"/>
      <c r="C158" s="157"/>
      <c r="D158" s="157"/>
      <c r="E158" s="131"/>
      <c r="F158" s="153" t="str">
        <f>IF(A158="","",IFERROR(INDEX(Table_Complete_CGNC_PCG!$E:$E,MATCH(L158,Table_Complete_CGNC_PCG!$I:$I,0)),"? Non mappe"))</f>
        <v/>
      </c>
      <c r="G158" s="149" t="str">
        <f>IF(A158="","",IFERROR(INDEX(Table_Complete_CGNC_PCG!$F:$F,MATCH(L158,Table_Complete_CGNC_PCG!$I:$I,0)),"Non trouve — ajouter dans la table"))</f>
        <v/>
      </c>
      <c r="H158" s="148" t="str">
        <f t="shared" si="20"/>
        <v/>
      </c>
      <c r="I158" s="148" t="str">
        <f t="shared" si="21"/>
        <v/>
      </c>
      <c r="J158" s="131"/>
      <c r="K158" s="143" t="str">
        <f>IF(A158="","",IFERROR(IF(F158="? Non mappe","Compte non trouve - mapper manuellement",IF(AND(ISNUMBER(SEARCH("516",L158)),D158&gt;0),"CAISSE CREDITRICE - anomalie a corriger",IF(IFERROR(INDEX(Table_Complete_CGNC_PCG!$D:$D,MATCH(L158,Table_Complete_CGNC_PCG!$I:$I,0)),"")="?","Retraitement requis - voir table","OK"))),"Erreur"))</f>
        <v/>
      </c>
      <c r="L158" s="141" t="str">
        <f t="shared" si="23"/>
        <v>0</v>
      </c>
      <c r="M158" t="str">
        <f t="shared" si="24"/>
        <v/>
      </c>
      <c r="N158" s="135" t="str">
        <f t="shared" si="22"/>
        <v/>
      </c>
      <c r="O158" s="135" t="str">
        <f t="shared" si="22"/>
        <v/>
      </c>
      <c r="P158" s="135" t="str">
        <f t="shared" si="22"/>
        <v/>
      </c>
      <c r="Q158" s="135" t="str">
        <f t="shared" si="22"/>
        <v/>
      </c>
      <c r="R158" s="135" t="str">
        <f t="shared" si="22"/>
        <v/>
      </c>
      <c r="S158" s="135" t="str">
        <f t="shared" si="22"/>
        <v/>
      </c>
      <c r="T158" s="135" t="str">
        <f t="shared" si="22"/>
        <v/>
      </c>
      <c r="U158" s="135" t="str">
        <f t="shared" si="22"/>
        <v/>
      </c>
    </row>
    <row r="159" spans="1:21" ht="15" hidden="1" customHeight="1" x14ac:dyDescent="0.2">
      <c r="A159" s="163"/>
      <c r="B159" s="154"/>
      <c r="C159" s="155"/>
      <c r="D159" s="155"/>
      <c r="E159" s="131"/>
      <c r="F159" s="146" t="str">
        <f>IF(A159="","",IFERROR(INDEX(Table_Complete_CGNC_PCG!$E:$E,MATCH(L159,Table_Complete_CGNC_PCG!$I:$I,0)),"? Non mappe"))</f>
        <v/>
      </c>
      <c r="G159" s="147" t="str">
        <f>IF(A159="","",IFERROR(INDEX(Table_Complete_CGNC_PCG!$F:$F,MATCH(L159,Table_Complete_CGNC_PCG!$I:$I,0)),"Non trouve — ajouter dans la table"))</f>
        <v/>
      </c>
      <c r="H159" s="148" t="str">
        <f t="shared" si="20"/>
        <v/>
      </c>
      <c r="I159" s="148" t="str">
        <f t="shared" si="21"/>
        <v/>
      </c>
      <c r="J159" s="131"/>
      <c r="K159" s="143" t="str">
        <f>IF(A159="","",IFERROR(IF(F159="? Non mappe","Compte non trouve - mapper manuellement",IF(AND(ISNUMBER(SEARCH("516",L159)),D159&gt;0),"CAISSE CREDITRICE - anomalie a corriger",IF(IFERROR(INDEX(Table_Complete_CGNC_PCG!$D:$D,MATCH(L159,Table_Complete_CGNC_PCG!$I:$I,0)),"")="?","Retraitement requis - voir table","OK"))),"Erreur"))</f>
        <v/>
      </c>
      <c r="L159" s="141" t="str">
        <f t="shared" si="23"/>
        <v>0</v>
      </c>
      <c r="M159" t="str">
        <f t="shared" si="24"/>
        <v/>
      </c>
      <c r="N159" s="135" t="str">
        <f t="shared" si="22"/>
        <v/>
      </c>
      <c r="O159" s="135" t="str">
        <f t="shared" si="22"/>
        <v/>
      </c>
      <c r="P159" s="135" t="str">
        <f t="shared" si="22"/>
        <v/>
      </c>
      <c r="Q159" s="135" t="str">
        <f t="shared" si="22"/>
        <v/>
      </c>
      <c r="R159" s="135" t="str">
        <f t="shared" si="22"/>
        <v/>
      </c>
      <c r="S159" s="135" t="str">
        <f t="shared" si="22"/>
        <v/>
      </c>
      <c r="T159" s="135" t="str">
        <f t="shared" si="22"/>
        <v/>
      </c>
      <c r="U159" s="135" t="str">
        <f t="shared" si="22"/>
        <v/>
      </c>
    </row>
    <row r="160" spans="1:21" ht="15" hidden="1" customHeight="1" x14ac:dyDescent="0.2">
      <c r="A160" s="165"/>
      <c r="B160" s="156"/>
      <c r="C160" s="157"/>
      <c r="D160" s="157"/>
      <c r="E160" s="131"/>
      <c r="F160" s="153" t="str">
        <f>IF(A160="","",IFERROR(INDEX(Table_Complete_CGNC_PCG!$E:$E,MATCH(L160,Table_Complete_CGNC_PCG!$I:$I,0)),"? Non mappe"))</f>
        <v/>
      </c>
      <c r="G160" s="149" t="str">
        <f>IF(A160="","",IFERROR(INDEX(Table_Complete_CGNC_PCG!$F:$F,MATCH(L160,Table_Complete_CGNC_PCG!$I:$I,0)),"Non trouve — ajouter dans la table"))</f>
        <v/>
      </c>
      <c r="H160" s="148" t="str">
        <f t="shared" si="20"/>
        <v/>
      </c>
      <c r="I160" s="148" t="str">
        <f t="shared" si="21"/>
        <v/>
      </c>
      <c r="J160" s="131"/>
      <c r="K160" s="143" t="str">
        <f>IF(A160="","",IFERROR(IF(F160="? Non mappe","Compte non trouve - mapper manuellement",IF(AND(ISNUMBER(SEARCH("516",L160)),D160&gt;0),"CAISSE CREDITRICE - anomalie a corriger",IF(IFERROR(INDEX(Table_Complete_CGNC_PCG!$D:$D,MATCH(L160,Table_Complete_CGNC_PCG!$I:$I,0)),"")="?","Retraitement requis - voir table","OK"))),"Erreur"))</f>
        <v/>
      </c>
      <c r="L160" s="141" t="str">
        <f t="shared" si="23"/>
        <v>0</v>
      </c>
      <c r="M160" t="str">
        <f t="shared" si="24"/>
        <v/>
      </c>
      <c r="N160" s="135" t="str">
        <f t="shared" si="22"/>
        <v/>
      </c>
      <c r="O160" s="135" t="str">
        <f t="shared" si="22"/>
        <v/>
      </c>
      <c r="P160" s="135" t="str">
        <f t="shared" si="22"/>
        <v/>
      </c>
      <c r="Q160" s="135" t="str">
        <f t="shared" si="22"/>
        <v/>
      </c>
      <c r="R160" s="135" t="str">
        <f t="shared" si="22"/>
        <v/>
      </c>
      <c r="S160" s="135" t="str">
        <f t="shared" si="22"/>
        <v/>
      </c>
      <c r="T160" s="135" t="str">
        <f t="shared" si="22"/>
        <v/>
      </c>
      <c r="U160" s="135" t="str">
        <f t="shared" si="22"/>
        <v/>
      </c>
    </row>
    <row r="161" spans="1:21" ht="15" hidden="1" customHeight="1" x14ac:dyDescent="0.2">
      <c r="A161" s="163"/>
      <c r="B161" s="154"/>
      <c r="C161" s="155"/>
      <c r="D161" s="155"/>
      <c r="E161" s="131"/>
      <c r="F161" s="146" t="str">
        <f>IF(A161="","",IFERROR(INDEX(Table_Complete_CGNC_PCG!$E:$E,MATCH(L161,Table_Complete_CGNC_PCG!$I:$I,0)),"? Non mappe"))</f>
        <v/>
      </c>
      <c r="G161" s="147" t="str">
        <f>IF(A161="","",IFERROR(INDEX(Table_Complete_CGNC_PCG!$F:$F,MATCH(L161,Table_Complete_CGNC_PCG!$I:$I,0)),"Non trouve — ajouter dans la table"))</f>
        <v/>
      </c>
      <c r="H161" s="148" t="str">
        <f t="shared" si="20"/>
        <v/>
      </c>
      <c r="I161" s="148" t="str">
        <f t="shared" si="21"/>
        <v/>
      </c>
      <c r="J161" s="131"/>
      <c r="K161" s="143" t="str">
        <f>IF(A161="","",IFERROR(IF(F161="? Non mappe","Compte non trouve - mapper manuellement",IF(AND(ISNUMBER(SEARCH("516",L161)),D161&gt;0),"CAISSE CREDITRICE - anomalie a corriger",IF(IFERROR(INDEX(Table_Complete_CGNC_PCG!$D:$D,MATCH(L161,Table_Complete_CGNC_PCG!$I:$I,0)),"")="?","Retraitement requis - voir table","OK"))),"Erreur"))</f>
        <v/>
      </c>
      <c r="L161" s="141" t="str">
        <f t="shared" si="23"/>
        <v>0</v>
      </c>
      <c r="M161" t="str">
        <f t="shared" si="24"/>
        <v/>
      </c>
      <c r="N161" s="135" t="str">
        <f t="shared" si="22"/>
        <v/>
      </c>
      <c r="O161" s="135" t="str">
        <f t="shared" si="22"/>
        <v/>
      </c>
      <c r="P161" s="135" t="str">
        <f t="shared" si="22"/>
        <v/>
      </c>
      <c r="Q161" s="135" t="str">
        <f t="shared" si="22"/>
        <v/>
      </c>
      <c r="R161" s="135" t="str">
        <f t="shared" si="22"/>
        <v/>
      </c>
      <c r="S161" s="135" t="str">
        <f t="shared" si="22"/>
        <v/>
      </c>
      <c r="T161" s="135" t="str">
        <f t="shared" si="22"/>
        <v/>
      </c>
      <c r="U161" s="135" t="str">
        <f t="shared" si="22"/>
        <v/>
      </c>
    </row>
    <row r="162" spans="1:21" ht="15" hidden="1" customHeight="1" x14ac:dyDescent="0.2">
      <c r="A162" s="165"/>
      <c r="B162" s="156"/>
      <c r="C162" s="157"/>
      <c r="D162" s="157"/>
      <c r="E162" s="131"/>
      <c r="F162" s="153" t="str">
        <f>IF(A162="","",IFERROR(INDEX(Table_Complete_CGNC_PCG!$E:$E,MATCH(L162,Table_Complete_CGNC_PCG!$I:$I,0)),"? Non mappe"))</f>
        <v/>
      </c>
      <c r="G162" s="149" t="str">
        <f>IF(A162="","",IFERROR(INDEX(Table_Complete_CGNC_PCG!$F:$F,MATCH(L162,Table_Complete_CGNC_PCG!$I:$I,0)),"Non trouve — ajouter dans la table"))</f>
        <v/>
      </c>
      <c r="H162" s="148" t="str">
        <f t="shared" si="20"/>
        <v/>
      </c>
      <c r="I162" s="148" t="str">
        <f t="shared" si="21"/>
        <v/>
      </c>
      <c r="J162" s="131"/>
      <c r="K162" s="143" t="str">
        <f>IF(A162="","",IFERROR(IF(F162="? Non mappe","Compte non trouve - mapper manuellement",IF(AND(ISNUMBER(SEARCH("516",L162)),D162&gt;0),"CAISSE CREDITRICE - anomalie a corriger",IF(IFERROR(INDEX(Table_Complete_CGNC_PCG!$D:$D,MATCH(L162,Table_Complete_CGNC_PCG!$I:$I,0)),"")="?","Retraitement requis - voir table","OK"))),"Erreur"))</f>
        <v/>
      </c>
      <c r="L162" s="141" t="str">
        <f t="shared" si="23"/>
        <v>0</v>
      </c>
      <c r="M162" t="str">
        <f t="shared" si="24"/>
        <v/>
      </c>
      <c r="N162" s="135" t="str">
        <f t="shared" si="22"/>
        <v/>
      </c>
      <c r="O162" s="135" t="str">
        <f t="shared" si="22"/>
        <v/>
      </c>
      <c r="P162" s="135" t="str">
        <f t="shared" si="22"/>
        <v/>
      </c>
      <c r="Q162" s="135" t="str">
        <f t="shared" si="22"/>
        <v/>
      </c>
      <c r="R162" s="135" t="str">
        <f t="shared" si="22"/>
        <v/>
      </c>
      <c r="S162" s="135" t="str">
        <f t="shared" si="22"/>
        <v/>
      </c>
      <c r="T162" s="135" t="str">
        <f t="shared" si="22"/>
        <v/>
      </c>
      <c r="U162" s="135" t="str">
        <f t="shared" si="22"/>
        <v/>
      </c>
    </row>
    <row r="163" spans="1:21" ht="15" hidden="1" customHeight="1" x14ac:dyDescent="0.2">
      <c r="A163" s="163"/>
      <c r="B163" s="154"/>
      <c r="C163" s="155"/>
      <c r="D163" s="155"/>
      <c r="E163" s="131"/>
      <c r="F163" s="146" t="str">
        <f>IF(A163="","",IFERROR(INDEX(Table_Complete_CGNC_PCG!$E:$E,MATCH(L163,Table_Complete_CGNC_PCG!$I:$I,0)),"? Non mappe"))</f>
        <v/>
      </c>
      <c r="G163" s="147" t="str">
        <f>IF(A163="","",IFERROR(INDEX(Table_Complete_CGNC_PCG!$F:$F,MATCH(L163,Table_Complete_CGNC_PCG!$I:$I,0)),"Non trouve — ajouter dans la table"))</f>
        <v/>
      </c>
      <c r="H163" s="148" t="str">
        <f t="shared" si="20"/>
        <v/>
      </c>
      <c r="I163" s="148" t="str">
        <f t="shared" si="21"/>
        <v/>
      </c>
      <c r="J163" s="131"/>
      <c r="K163" s="143" t="str">
        <f>IF(A163="","",IFERROR(IF(F163="? Non mappe","Compte non trouve - mapper manuellement",IF(AND(ISNUMBER(SEARCH("516",L163)),D163&gt;0),"CAISSE CREDITRICE - anomalie a corriger",IF(IFERROR(INDEX(Table_Complete_CGNC_PCG!$D:$D,MATCH(L163,Table_Complete_CGNC_PCG!$I:$I,0)),"")="?","Retraitement requis - voir table","OK"))),"Erreur"))</f>
        <v/>
      </c>
      <c r="L163" s="141" t="str">
        <f t="shared" si="23"/>
        <v>0</v>
      </c>
      <c r="M163" t="str">
        <f t="shared" si="24"/>
        <v/>
      </c>
      <c r="N163" s="135" t="str">
        <f t="shared" si="22"/>
        <v/>
      </c>
      <c r="O163" s="135" t="str">
        <f t="shared" si="22"/>
        <v/>
      </c>
      <c r="P163" s="135" t="str">
        <f t="shared" si="22"/>
        <v/>
      </c>
      <c r="Q163" s="135" t="str">
        <f t="shared" si="22"/>
        <v/>
      </c>
      <c r="R163" s="135" t="str">
        <f t="shared" si="22"/>
        <v/>
      </c>
      <c r="S163" s="135" t="str">
        <f t="shared" si="22"/>
        <v/>
      </c>
      <c r="T163" s="135" t="str">
        <f t="shared" si="22"/>
        <v/>
      </c>
      <c r="U163" s="135" t="str">
        <f t="shared" si="22"/>
        <v/>
      </c>
    </row>
    <row r="164" spans="1:21" ht="15" hidden="1" customHeight="1" x14ac:dyDescent="0.2">
      <c r="A164" s="165"/>
      <c r="B164" s="156"/>
      <c r="C164" s="157"/>
      <c r="D164" s="157"/>
      <c r="E164" s="131"/>
      <c r="F164" s="153" t="str">
        <f>IF(A164="","",IFERROR(INDEX(Table_Complete_CGNC_PCG!$E:$E,MATCH(L164,Table_Complete_CGNC_PCG!$I:$I,0)),"? Non mappe"))</f>
        <v/>
      </c>
      <c r="G164" s="149" t="str">
        <f>IF(A164="","",IFERROR(INDEX(Table_Complete_CGNC_PCG!$F:$F,MATCH(L164,Table_Complete_CGNC_PCG!$I:$I,0)),"Non trouve — ajouter dans la table"))</f>
        <v/>
      </c>
      <c r="H164" s="148" t="str">
        <f t="shared" si="20"/>
        <v/>
      </c>
      <c r="I164" s="148" t="str">
        <f t="shared" si="21"/>
        <v/>
      </c>
      <c r="J164" s="131"/>
      <c r="K164" s="143" t="str">
        <f>IF(A164="","",IFERROR(IF(F164="? Non mappe","Compte non trouve - mapper manuellement",IF(AND(ISNUMBER(SEARCH("516",L164)),D164&gt;0),"CAISSE CREDITRICE - anomalie a corriger",IF(IFERROR(INDEX(Table_Complete_CGNC_PCG!$D:$D,MATCH(L164,Table_Complete_CGNC_PCG!$I:$I,0)),"")="?","Retraitement requis - voir table","OK"))),"Erreur"))</f>
        <v/>
      </c>
      <c r="L164" s="141" t="str">
        <f t="shared" si="23"/>
        <v>0</v>
      </c>
      <c r="M164" t="str">
        <f t="shared" si="24"/>
        <v/>
      </c>
      <c r="N164" s="135" t="str">
        <f t="shared" ref="N164:U179" si="25">IF(M164="","",IF(AND(LEN(M164)&gt;3,RIGHT(M164,1)="0"),LEFT(M164,LEN(M164)-1),M164))</f>
        <v/>
      </c>
      <c r="O164" s="135" t="str">
        <f t="shared" si="25"/>
        <v/>
      </c>
      <c r="P164" s="135" t="str">
        <f t="shared" si="25"/>
        <v/>
      </c>
      <c r="Q164" s="135" t="str">
        <f t="shared" si="25"/>
        <v/>
      </c>
      <c r="R164" s="135" t="str">
        <f t="shared" si="25"/>
        <v/>
      </c>
      <c r="S164" s="135" t="str">
        <f t="shared" si="25"/>
        <v/>
      </c>
      <c r="T164" s="135" t="str">
        <f t="shared" si="25"/>
        <v/>
      </c>
      <c r="U164" s="135" t="str">
        <f t="shared" si="25"/>
        <v/>
      </c>
    </row>
    <row r="165" spans="1:21" ht="15" hidden="1" customHeight="1" x14ac:dyDescent="0.2">
      <c r="A165" s="163"/>
      <c r="B165" s="154"/>
      <c r="C165" s="155"/>
      <c r="D165" s="155"/>
      <c r="E165" s="131"/>
      <c r="F165" s="146" t="str">
        <f>IF(A165="","",IFERROR(INDEX(Table_Complete_CGNC_PCG!$E:$E,MATCH(L165,Table_Complete_CGNC_PCG!$I:$I,0)),"? Non mappe"))</f>
        <v/>
      </c>
      <c r="G165" s="147" t="str">
        <f>IF(A165="","",IFERROR(INDEX(Table_Complete_CGNC_PCG!$F:$F,MATCH(L165,Table_Complete_CGNC_PCG!$I:$I,0)),"Non trouve — ajouter dans la table"))</f>
        <v/>
      </c>
      <c r="H165" s="148" t="str">
        <f t="shared" si="20"/>
        <v/>
      </c>
      <c r="I165" s="148" t="str">
        <f t="shared" si="21"/>
        <v/>
      </c>
      <c r="J165" s="131"/>
      <c r="K165" s="143" t="str">
        <f>IF(A165="","",IFERROR(IF(F165="? Non mappe","Compte non trouve - mapper manuellement",IF(AND(ISNUMBER(SEARCH("516",L165)),D165&gt;0),"CAISSE CREDITRICE - anomalie a corriger",IF(IFERROR(INDEX(Table_Complete_CGNC_PCG!$D:$D,MATCH(L165,Table_Complete_CGNC_PCG!$I:$I,0)),"")="?","Retraitement requis - voir table","OK"))),"Erreur"))</f>
        <v/>
      </c>
      <c r="L165" s="141" t="str">
        <f t="shared" si="23"/>
        <v>0</v>
      </c>
      <c r="M165" t="str">
        <f t="shared" si="24"/>
        <v/>
      </c>
      <c r="N165" s="135" t="str">
        <f t="shared" si="25"/>
        <v/>
      </c>
      <c r="O165" s="135" t="str">
        <f t="shared" si="25"/>
        <v/>
      </c>
      <c r="P165" s="135" t="str">
        <f t="shared" si="25"/>
        <v/>
      </c>
      <c r="Q165" s="135" t="str">
        <f t="shared" si="25"/>
        <v/>
      </c>
      <c r="R165" s="135" t="str">
        <f t="shared" si="25"/>
        <v/>
      </c>
      <c r="S165" s="135" t="str">
        <f t="shared" si="25"/>
        <v/>
      </c>
      <c r="T165" s="135" t="str">
        <f t="shared" si="25"/>
        <v/>
      </c>
      <c r="U165" s="135" t="str">
        <f t="shared" si="25"/>
        <v/>
      </c>
    </row>
    <row r="166" spans="1:21" ht="15" hidden="1" customHeight="1" x14ac:dyDescent="0.2">
      <c r="A166" s="165"/>
      <c r="B166" s="156"/>
      <c r="C166" s="157"/>
      <c r="D166" s="157"/>
      <c r="E166" s="131"/>
      <c r="F166" s="153" t="str">
        <f>IF(A166="","",IFERROR(INDEX(Table_Complete_CGNC_PCG!$E:$E,MATCH(L166,Table_Complete_CGNC_PCG!$I:$I,0)),"? Non mappe"))</f>
        <v/>
      </c>
      <c r="G166" s="149" t="str">
        <f>IF(A166="","",IFERROR(INDEX(Table_Complete_CGNC_PCG!$F:$F,MATCH(L166,Table_Complete_CGNC_PCG!$I:$I,0)),"Non trouve — ajouter dans la table"))</f>
        <v/>
      </c>
      <c r="H166" s="148" t="str">
        <f t="shared" si="20"/>
        <v/>
      </c>
      <c r="I166" s="148" t="str">
        <f t="shared" si="21"/>
        <v/>
      </c>
      <c r="J166" s="131"/>
      <c r="K166" s="143" t="str">
        <f>IF(A166="","",IFERROR(IF(F166="? Non mappe","Compte non trouve - mapper manuellement",IF(AND(ISNUMBER(SEARCH("516",L166)),D166&gt;0),"CAISSE CREDITRICE - anomalie a corriger",IF(IFERROR(INDEX(Table_Complete_CGNC_PCG!$D:$D,MATCH(L166,Table_Complete_CGNC_PCG!$I:$I,0)),"")="?","Retraitement requis - voir table","OK"))),"Erreur"))</f>
        <v/>
      </c>
      <c r="L166" s="141" t="str">
        <f t="shared" si="23"/>
        <v>0</v>
      </c>
      <c r="M166" t="str">
        <f t="shared" si="24"/>
        <v/>
      </c>
      <c r="N166" s="135" t="str">
        <f t="shared" si="25"/>
        <v/>
      </c>
      <c r="O166" s="135" t="str">
        <f t="shared" si="25"/>
        <v/>
      </c>
      <c r="P166" s="135" t="str">
        <f t="shared" si="25"/>
        <v/>
      </c>
      <c r="Q166" s="135" t="str">
        <f t="shared" si="25"/>
        <v/>
      </c>
      <c r="R166" s="135" t="str">
        <f t="shared" si="25"/>
        <v/>
      </c>
      <c r="S166" s="135" t="str">
        <f t="shared" si="25"/>
        <v/>
      </c>
      <c r="T166" s="135" t="str">
        <f t="shared" si="25"/>
        <v/>
      </c>
      <c r="U166" s="135" t="str">
        <f t="shared" si="25"/>
        <v/>
      </c>
    </row>
    <row r="167" spans="1:21" ht="15" hidden="1" customHeight="1" x14ac:dyDescent="0.2">
      <c r="A167" s="163"/>
      <c r="B167" s="154"/>
      <c r="C167" s="155"/>
      <c r="D167" s="155"/>
      <c r="E167" s="131"/>
      <c r="F167" s="146" t="str">
        <f>IF(A167="","",IFERROR(INDEX(Table_Complete_CGNC_PCG!$E:$E,MATCH(L167,Table_Complete_CGNC_PCG!$I:$I,0)),"? Non mappe"))</f>
        <v/>
      </c>
      <c r="G167" s="147" t="str">
        <f>IF(A167="","",IFERROR(INDEX(Table_Complete_CGNC_PCG!$F:$F,MATCH(L167,Table_Complete_CGNC_PCG!$I:$I,0)),"Non trouve — ajouter dans la table"))</f>
        <v/>
      </c>
      <c r="H167" s="148" t="str">
        <f t="shared" si="20"/>
        <v/>
      </c>
      <c r="I167" s="148" t="str">
        <f t="shared" si="21"/>
        <v/>
      </c>
      <c r="J167" s="131"/>
      <c r="K167" s="143" t="str">
        <f>IF(A167="","",IFERROR(IF(F167="? Non mappe","Compte non trouve - mapper manuellement",IF(AND(ISNUMBER(SEARCH("516",L167)),D167&gt;0),"CAISSE CREDITRICE - anomalie a corriger",IF(IFERROR(INDEX(Table_Complete_CGNC_PCG!$D:$D,MATCH(L167,Table_Complete_CGNC_PCG!$I:$I,0)),"")="?","Retraitement requis - voir table","OK"))),"Erreur"))</f>
        <v/>
      </c>
      <c r="L167" s="141" t="str">
        <f t="shared" si="23"/>
        <v>0</v>
      </c>
      <c r="M167" t="str">
        <f t="shared" si="24"/>
        <v/>
      </c>
      <c r="N167" s="135" t="str">
        <f t="shared" si="25"/>
        <v/>
      </c>
      <c r="O167" s="135" t="str">
        <f t="shared" si="25"/>
        <v/>
      </c>
      <c r="P167" s="135" t="str">
        <f t="shared" si="25"/>
        <v/>
      </c>
      <c r="Q167" s="135" t="str">
        <f t="shared" si="25"/>
        <v/>
      </c>
      <c r="R167" s="135" t="str">
        <f t="shared" si="25"/>
        <v/>
      </c>
      <c r="S167" s="135" t="str">
        <f t="shared" si="25"/>
        <v/>
      </c>
      <c r="T167" s="135" t="str">
        <f t="shared" si="25"/>
        <v/>
      </c>
      <c r="U167" s="135" t="str">
        <f t="shared" si="25"/>
        <v/>
      </c>
    </row>
    <row r="168" spans="1:21" ht="15" hidden="1" customHeight="1" x14ac:dyDescent="0.2">
      <c r="A168" s="165"/>
      <c r="B168" s="156"/>
      <c r="C168" s="157"/>
      <c r="D168" s="157"/>
      <c r="E168" s="131"/>
      <c r="F168" s="153" t="str">
        <f>IF(A168="","",IFERROR(INDEX(Table_Complete_CGNC_PCG!$E:$E,MATCH(L168,Table_Complete_CGNC_PCG!$I:$I,0)),"? Non mappe"))</f>
        <v/>
      </c>
      <c r="G168" s="149" t="str">
        <f>IF(A168="","",IFERROR(INDEX(Table_Complete_CGNC_PCG!$F:$F,MATCH(L168,Table_Complete_CGNC_PCG!$I:$I,0)),"Non trouve — ajouter dans la table"))</f>
        <v/>
      </c>
      <c r="H168" s="148" t="str">
        <f t="shared" si="20"/>
        <v/>
      </c>
      <c r="I168" s="148" t="str">
        <f t="shared" si="21"/>
        <v/>
      </c>
      <c r="J168" s="131"/>
      <c r="K168" s="143" t="str">
        <f>IF(A168="","",IFERROR(IF(F168="? Non mappe","Compte non trouve - mapper manuellement",IF(AND(ISNUMBER(SEARCH("516",L168)),D168&gt;0),"CAISSE CREDITRICE - anomalie a corriger",IF(IFERROR(INDEX(Table_Complete_CGNC_PCG!$D:$D,MATCH(L168,Table_Complete_CGNC_PCG!$I:$I,0)),"")="?","Retraitement requis - voir table","OK"))),"Erreur"))</f>
        <v/>
      </c>
      <c r="L168" s="141" t="str">
        <f t="shared" si="23"/>
        <v>0</v>
      </c>
      <c r="M168" t="str">
        <f t="shared" si="24"/>
        <v/>
      </c>
      <c r="N168" s="135" t="str">
        <f t="shared" si="25"/>
        <v/>
      </c>
      <c r="O168" s="135" t="str">
        <f t="shared" si="25"/>
        <v/>
      </c>
      <c r="P168" s="135" t="str">
        <f t="shared" si="25"/>
        <v/>
      </c>
      <c r="Q168" s="135" t="str">
        <f t="shared" si="25"/>
        <v/>
      </c>
      <c r="R168" s="135" t="str">
        <f t="shared" si="25"/>
        <v/>
      </c>
      <c r="S168" s="135" t="str">
        <f t="shared" si="25"/>
        <v/>
      </c>
      <c r="T168" s="135" t="str">
        <f t="shared" si="25"/>
        <v/>
      </c>
      <c r="U168" s="135" t="str">
        <f t="shared" si="25"/>
        <v/>
      </c>
    </row>
    <row r="169" spans="1:21" ht="15" hidden="1" customHeight="1" x14ac:dyDescent="0.2">
      <c r="A169" s="163"/>
      <c r="B169" s="154"/>
      <c r="C169" s="155"/>
      <c r="D169" s="155"/>
      <c r="E169" s="131"/>
      <c r="F169" s="146" t="str">
        <f>IF(A169="","",IFERROR(INDEX(Table_Complete_CGNC_PCG!$E:$E,MATCH(L169,Table_Complete_CGNC_PCG!$I:$I,0)),"? Non mappe"))</f>
        <v/>
      </c>
      <c r="G169" s="147" t="str">
        <f>IF(A169="","",IFERROR(INDEX(Table_Complete_CGNC_PCG!$F:$F,MATCH(L169,Table_Complete_CGNC_PCG!$I:$I,0)),"Non trouve — ajouter dans la table"))</f>
        <v/>
      </c>
      <c r="H169" s="148" t="str">
        <f t="shared" si="20"/>
        <v/>
      </c>
      <c r="I169" s="148" t="str">
        <f t="shared" si="21"/>
        <v/>
      </c>
      <c r="J169" s="131"/>
      <c r="K169" s="143" t="str">
        <f>IF(A169="","",IFERROR(IF(F169="? Non mappe","Compte non trouve - mapper manuellement",IF(AND(ISNUMBER(SEARCH("516",L169)),D169&gt;0),"CAISSE CREDITRICE - anomalie a corriger",IF(IFERROR(INDEX(Table_Complete_CGNC_PCG!$D:$D,MATCH(L169,Table_Complete_CGNC_PCG!$I:$I,0)),"")="?","Retraitement requis - voir table","OK"))),"Erreur"))</f>
        <v/>
      </c>
      <c r="L169" s="141" t="str">
        <f t="shared" si="23"/>
        <v>0</v>
      </c>
      <c r="M169" t="str">
        <f t="shared" si="24"/>
        <v/>
      </c>
      <c r="N169" s="135" t="str">
        <f t="shared" si="25"/>
        <v/>
      </c>
      <c r="O169" s="135" t="str">
        <f t="shared" si="25"/>
        <v/>
      </c>
      <c r="P169" s="135" t="str">
        <f t="shared" si="25"/>
        <v/>
      </c>
      <c r="Q169" s="135" t="str">
        <f t="shared" si="25"/>
        <v/>
      </c>
      <c r="R169" s="135" t="str">
        <f t="shared" si="25"/>
        <v/>
      </c>
      <c r="S169" s="135" t="str">
        <f t="shared" si="25"/>
        <v/>
      </c>
      <c r="T169" s="135" t="str">
        <f t="shared" si="25"/>
        <v/>
      </c>
      <c r="U169" s="135" t="str">
        <f t="shared" si="25"/>
        <v/>
      </c>
    </row>
    <row r="170" spans="1:21" ht="15" hidden="1" customHeight="1" x14ac:dyDescent="0.2">
      <c r="A170" s="165"/>
      <c r="B170" s="156"/>
      <c r="C170" s="157"/>
      <c r="D170" s="157"/>
      <c r="E170" s="131"/>
      <c r="F170" s="153" t="str">
        <f>IF(A170="","",IFERROR(INDEX(Table_Complete_CGNC_PCG!$E:$E,MATCH(L170,Table_Complete_CGNC_PCG!$I:$I,0)),"? Non mappe"))</f>
        <v/>
      </c>
      <c r="G170" s="149" t="str">
        <f>IF(A170="","",IFERROR(INDEX(Table_Complete_CGNC_PCG!$F:$F,MATCH(L170,Table_Complete_CGNC_PCG!$I:$I,0)),"Non trouve — ajouter dans la table"))</f>
        <v/>
      </c>
      <c r="H170" s="148" t="str">
        <f t="shared" si="20"/>
        <v/>
      </c>
      <c r="I170" s="148" t="str">
        <f t="shared" si="21"/>
        <v/>
      </c>
      <c r="J170" s="131"/>
      <c r="K170" s="143" t="str">
        <f>IF(A170="","",IFERROR(IF(F170="? Non mappe","Compte non trouve - mapper manuellement",IF(AND(ISNUMBER(SEARCH("516",L170)),D170&gt;0),"CAISSE CREDITRICE - anomalie a corriger",IF(IFERROR(INDEX(Table_Complete_CGNC_PCG!$D:$D,MATCH(L170,Table_Complete_CGNC_PCG!$I:$I,0)),"")="?","Retraitement requis - voir table","OK"))),"Erreur"))</f>
        <v/>
      </c>
      <c r="L170" s="141" t="str">
        <f t="shared" si="23"/>
        <v>0</v>
      </c>
      <c r="M170" t="str">
        <f t="shared" si="24"/>
        <v/>
      </c>
      <c r="N170" s="135" t="str">
        <f t="shared" si="25"/>
        <v/>
      </c>
      <c r="O170" s="135" t="str">
        <f t="shared" si="25"/>
        <v/>
      </c>
      <c r="P170" s="135" t="str">
        <f t="shared" si="25"/>
        <v/>
      </c>
      <c r="Q170" s="135" t="str">
        <f t="shared" si="25"/>
        <v/>
      </c>
      <c r="R170" s="135" t="str">
        <f t="shared" si="25"/>
        <v/>
      </c>
      <c r="S170" s="135" t="str">
        <f t="shared" si="25"/>
        <v/>
      </c>
      <c r="T170" s="135" t="str">
        <f t="shared" si="25"/>
        <v/>
      </c>
      <c r="U170" s="135" t="str">
        <f t="shared" si="25"/>
        <v/>
      </c>
    </row>
    <row r="171" spans="1:21" ht="15" hidden="1" customHeight="1" x14ac:dyDescent="0.2">
      <c r="A171" s="163"/>
      <c r="B171" s="154"/>
      <c r="C171" s="155"/>
      <c r="D171" s="155"/>
      <c r="E171" s="131"/>
      <c r="F171" s="146" t="str">
        <f>IF(A171="","",IFERROR(INDEX(Table_Complete_CGNC_PCG!$E:$E,MATCH(L171,Table_Complete_CGNC_PCG!$I:$I,0)),"? Non mappe"))</f>
        <v/>
      </c>
      <c r="G171" s="147" t="str">
        <f>IF(A171="","",IFERROR(INDEX(Table_Complete_CGNC_PCG!$F:$F,MATCH(L171,Table_Complete_CGNC_PCG!$I:$I,0)),"Non trouve — ajouter dans la table"))</f>
        <v/>
      </c>
      <c r="H171" s="148" t="str">
        <f t="shared" si="20"/>
        <v/>
      </c>
      <c r="I171" s="148" t="str">
        <f t="shared" si="21"/>
        <v/>
      </c>
      <c r="J171" s="131"/>
      <c r="K171" s="143" t="str">
        <f>IF(A171="","",IFERROR(IF(F171="? Non mappe","Compte non trouve - mapper manuellement",IF(AND(ISNUMBER(SEARCH("516",L171)),D171&gt;0),"CAISSE CREDITRICE - anomalie a corriger",IF(IFERROR(INDEX(Table_Complete_CGNC_PCG!$D:$D,MATCH(L171,Table_Complete_CGNC_PCG!$I:$I,0)),"")="?","Retraitement requis - voir table","OK"))),"Erreur"))</f>
        <v/>
      </c>
      <c r="L171" s="141" t="str">
        <f t="shared" si="23"/>
        <v>0</v>
      </c>
      <c r="M171" t="str">
        <f t="shared" si="24"/>
        <v/>
      </c>
      <c r="N171" s="135" t="str">
        <f t="shared" si="25"/>
        <v/>
      </c>
      <c r="O171" s="135" t="str">
        <f t="shared" si="25"/>
        <v/>
      </c>
      <c r="P171" s="135" t="str">
        <f t="shared" si="25"/>
        <v/>
      </c>
      <c r="Q171" s="135" t="str">
        <f t="shared" si="25"/>
        <v/>
      </c>
      <c r="R171" s="135" t="str">
        <f t="shared" si="25"/>
        <v/>
      </c>
      <c r="S171" s="135" t="str">
        <f t="shared" si="25"/>
        <v/>
      </c>
      <c r="T171" s="135" t="str">
        <f t="shared" si="25"/>
        <v/>
      </c>
      <c r="U171" s="135" t="str">
        <f t="shared" si="25"/>
        <v/>
      </c>
    </row>
    <row r="172" spans="1:21" ht="15" hidden="1" customHeight="1" x14ac:dyDescent="0.2">
      <c r="A172" s="165"/>
      <c r="B172" s="156"/>
      <c r="C172" s="157"/>
      <c r="D172" s="157"/>
      <c r="E172" s="131"/>
      <c r="F172" s="153" t="str">
        <f>IF(A172="","",IFERROR(INDEX(Table_Complete_CGNC_PCG!$E:$E,MATCH(L172,Table_Complete_CGNC_PCG!$I:$I,0)),"? Non mappe"))</f>
        <v/>
      </c>
      <c r="G172" s="149" t="str">
        <f>IF(A172="","",IFERROR(INDEX(Table_Complete_CGNC_PCG!$F:$F,MATCH(L172,Table_Complete_CGNC_PCG!$I:$I,0)),"Non trouve — ajouter dans la table"))</f>
        <v/>
      </c>
      <c r="H172" s="148" t="str">
        <f t="shared" si="20"/>
        <v/>
      </c>
      <c r="I172" s="148" t="str">
        <f t="shared" si="21"/>
        <v/>
      </c>
      <c r="J172" s="131"/>
      <c r="K172" s="143" t="str">
        <f>IF(A172="","",IFERROR(IF(F172="? Non mappe","Compte non trouve - mapper manuellement",IF(AND(ISNUMBER(SEARCH("516",L172)),D172&gt;0),"CAISSE CREDITRICE - anomalie a corriger",IF(IFERROR(INDEX(Table_Complete_CGNC_PCG!$D:$D,MATCH(L172,Table_Complete_CGNC_PCG!$I:$I,0)),"")="?","Retraitement requis - voir table","OK"))),"Erreur"))</f>
        <v/>
      </c>
      <c r="L172" s="141" t="str">
        <f t="shared" si="23"/>
        <v>0</v>
      </c>
      <c r="M172" t="str">
        <f t="shared" si="24"/>
        <v/>
      </c>
      <c r="N172" s="135" t="str">
        <f t="shared" si="25"/>
        <v/>
      </c>
      <c r="O172" s="135" t="str">
        <f t="shared" si="25"/>
        <v/>
      </c>
      <c r="P172" s="135" t="str">
        <f t="shared" si="25"/>
        <v/>
      </c>
      <c r="Q172" s="135" t="str">
        <f t="shared" si="25"/>
        <v/>
      </c>
      <c r="R172" s="135" t="str">
        <f t="shared" si="25"/>
        <v/>
      </c>
      <c r="S172" s="135" t="str">
        <f t="shared" si="25"/>
        <v/>
      </c>
      <c r="T172" s="135" t="str">
        <f t="shared" si="25"/>
        <v/>
      </c>
      <c r="U172" s="135" t="str">
        <f t="shared" si="25"/>
        <v/>
      </c>
    </row>
    <row r="173" spans="1:21" ht="15" hidden="1" customHeight="1" x14ac:dyDescent="0.2">
      <c r="A173" s="163"/>
      <c r="B173" s="154"/>
      <c r="C173" s="155"/>
      <c r="D173" s="155"/>
      <c r="E173" s="131"/>
      <c r="F173" s="146" t="str">
        <f>IF(A173="","",IFERROR(INDEX(Table_Complete_CGNC_PCG!$E:$E,MATCH(L173,Table_Complete_CGNC_PCG!$I:$I,0)),"? Non mappe"))</f>
        <v/>
      </c>
      <c r="G173" s="147" t="str">
        <f>IF(A173="","",IFERROR(INDEX(Table_Complete_CGNC_PCG!$F:$F,MATCH(L173,Table_Complete_CGNC_PCG!$I:$I,0)),"Non trouve — ajouter dans la table"))</f>
        <v/>
      </c>
      <c r="H173" s="148" t="str">
        <f t="shared" si="20"/>
        <v/>
      </c>
      <c r="I173" s="148" t="str">
        <f t="shared" si="21"/>
        <v/>
      </c>
      <c r="J173" s="131"/>
      <c r="K173" s="143" t="str">
        <f>IF(A173="","",IFERROR(IF(F173="? Non mappe","Compte non trouve - mapper manuellement",IF(AND(ISNUMBER(SEARCH("516",L173)),D173&gt;0),"CAISSE CREDITRICE - anomalie a corriger",IF(IFERROR(INDEX(Table_Complete_CGNC_PCG!$D:$D,MATCH(L173,Table_Complete_CGNC_PCG!$I:$I,0)),"")="?","Retraitement requis - voir table","OK"))),"Erreur"))</f>
        <v/>
      </c>
      <c r="L173" s="141" t="str">
        <f t="shared" si="23"/>
        <v>0</v>
      </c>
      <c r="M173" t="str">
        <f t="shared" si="24"/>
        <v/>
      </c>
      <c r="N173" s="135" t="str">
        <f t="shared" si="25"/>
        <v/>
      </c>
      <c r="O173" s="135" t="str">
        <f t="shared" si="25"/>
        <v/>
      </c>
      <c r="P173" s="135" t="str">
        <f t="shared" si="25"/>
        <v/>
      </c>
      <c r="Q173" s="135" t="str">
        <f t="shared" si="25"/>
        <v/>
      </c>
      <c r="R173" s="135" t="str">
        <f t="shared" si="25"/>
        <v/>
      </c>
      <c r="S173" s="135" t="str">
        <f t="shared" si="25"/>
        <v/>
      </c>
      <c r="T173" s="135" t="str">
        <f t="shared" si="25"/>
        <v/>
      </c>
      <c r="U173" s="135" t="str">
        <f t="shared" si="25"/>
        <v/>
      </c>
    </row>
    <row r="174" spans="1:21" ht="15" hidden="1" customHeight="1" x14ac:dyDescent="0.2">
      <c r="A174" s="165"/>
      <c r="B174" s="156"/>
      <c r="C174" s="157"/>
      <c r="D174" s="157"/>
      <c r="E174" s="131"/>
      <c r="F174" s="153" t="str">
        <f>IF(A174="","",IFERROR(INDEX(Table_Complete_CGNC_PCG!$E:$E,MATCH(L174,Table_Complete_CGNC_PCG!$I:$I,0)),"? Non mappe"))</f>
        <v/>
      </c>
      <c r="G174" s="149" t="str">
        <f>IF(A174="","",IFERROR(INDEX(Table_Complete_CGNC_PCG!$F:$F,MATCH(L174,Table_Complete_CGNC_PCG!$I:$I,0)),"Non trouve — ajouter dans la table"))</f>
        <v/>
      </c>
      <c r="H174" s="148" t="str">
        <f t="shared" si="20"/>
        <v/>
      </c>
      <c r="I174" s="148" t="str">
        <f t="shared" si="21"/>
        <v/>
      </c>
      <c r="J174" s="131"/>
      <c r="K174" s="143" t="str">
        <f>IF(A174="","",IFERROR(IF(F174="? Non mappe","Compte non trouve - mapper manuellement",IF(AND(ISNUMBER(SEARCH("516",L174)),D174&gt;0),"CAISSE CREDITRICE - anomalie a corriger",IF(IFERROR(INDEX(Table_Complete_CGNC_PCG!$D:$D,MATCH(L174,Table_Complete_CGNC_PCG!$I:$I,0)),"")="?","Retraitement requis - voir table","OK"))),"Erreur"))</f>
        <v/>
      </c>
      <c r="L174" s="141" t="str">
        <f t="shared" si="23"/>
        <v>0</v>
      </c>
      <c r="M174" t="str">
        <f t="shared" si="24"/>
        <v/>
      </c>
      <c r="N174" s="135" t="str">
        <f t="shared" si="25"/>
        <v/>
      </c>
      <c r="O174" s="135" t="str">
        <f t="shared" si="25"/>
        <v/>
      </c>
      <c r="P174" s="135" t="str">
        <f t="shared" si="25"/>
        <v/>
      </c>
      <c r="Q174" s="135" t="str">
        <f t="shared" si="25"/>
        <v/>
      </c>
      <c r="R174" s="135" t="str">
        <f t="shared" si="25"/>
        <v/>
      </c>
      <c r="S174" s="135" t="str">
        <f t="shared" si="25"/>
        <v/>
      </c>
      <c r="T174" s="135" t="str">
        <f t="shared" si="25"/>
        <v/>
      </c>
      <c r="U174" s="135" t="str">
        <f t="shared" si="25"/>
        <v/>
      </c>
    </row>
    <row r="175" spans="1:21" ht="15" hidden="1" customHeight="1" x14ac:dyDescent="0.2">
      <c r="A175" s="163"/>
      <c r="B175" s="154"/>
      <c r="C175" s="155"/>
      <c r="D175" s="155"/>
      <c r="E175" s="131"/>
      <c r="F175" s="146" t="str">
        <f>IF(A175="","",IFERROR(INDEX(Table_Complete_CGNC_PCG!$E:$E,MATCH(L175,Table_Complete_CGNC_PCG!$I:$I,0)),"? Non mappe"))</f>
        <v/>
      </c>
      <c r="G175" s="147" t="str">
        <f>IF(A175="","",IFERROR(INDEX(Table_Complete_CGNC_PCG!$F:$F,MATCH(L175,Table_Complete_CGNC_PCG!$I:$I,0)),"Non trouve — ajouter dans la table"))</f>
        <v/>
      </c>
      <c r="H175" s="148" t="str">
        <f t="shared" si="20"/>
        <v/>
      </c>
      <c r="I175" s="148" t="str">
        <f t="shared" si="21"/>
        <v/>
      </c>
      <c r="J175" s="131"/>
      <c r="K175" s="143" t="str">
        <f>IF(A175="","",IFERROR(IF(F175="? Non mappe","Compte non trouve - mapper manuellement",IF(AND(ISNUMBER(SEARCH("516",L175)),D175&gt;0),"CAISSE CREDITRICE - anomalie a corriger",IF(IFERROR(INDEX(Table_Complete_CGNC_PCG!$D:$D,MATCH(L175,Table_Complete_CGNC_PCG!$I:$I,0)),"")="?","Retraitement requis - voir table","OK"))),"Erreur"))</f>
        <v/>
      </c>
      <c r="L175" s="141" t="str">
        <f t="shared" si="23"/>
        <v>0</v>
      </c>
      <c r="M175" t="str">
        <f t="shared" si="24"/>
        <v/>
      </c>
      <c r="N175" s="135" t="str">
        <f t="shared" si="25"/>
        <v/>
      </c>
      <c r="O175" s="135" t="str">
        <f t="shared" si="25"/>
        <v/>
      </c>
      <c r="P175" s="135" t="str">
        <f t="shared" si="25"/>
        <v/>
      </c>
      <c r="Q175" s="135" t="str">
        <f t="shared" si="25"/>
        <v/>
      </c>
      <c r="R175" s="135" t="str">
        <f t="shared" si="25"/>
        <v/>
      </c>
      <c r="S175" s="135" t="str">
        <f t="shared" si="25"/>
        <v/>
      </c>
      <c r="T175" s="135" t="str">
        <f t="shared" si="25"/>
        <v/>
      </c>
      <c r="U175" s="135" t="str">
        <f t="shared" si="25"/>
        <v/>
      </c>
    </row>
    <row r="176" spans="1:21" ht="15" hidden="1" customHeight="1" x14ac:dyDescent="0.2">
      <c r="A176" s="165"/>
      <c r="B176" s="156"/>
      <c r="C176" s="157"/>
      <c r="D176" s="157"/>
      <c r="E176" s="131"/>
      <c r="F176" s="153" t="str">
        <f>IF(A176="","",IFERROR(INDEX(Table_Complete_CGNC_PCG!$E:$E,MATCH(L176,Table_Complete_CGNC_PCG!$I:$I,0)),"? Non mappe"))</f>
        <v/>
      </c>
      <c r="G176" s="149" t="str">
        <f>IF(A176="","",IFERROR(INDEX(Table_Complete_CGNC_PCG!$F:$F,MATCH(L176,Table_Complete_CGNC_PCG!$I:$I,0)),"Non trouve — ajouter dans la table"))</f>
        <v/>
      </c>
      <c r="H176" s="148" t="str">
        <f t="shared" si="20"/>
        <v/>
      </c>
      <c r="I176" s="148" t="str">
        <f t="shared" si="21"/>
        <v/>
      </c>
      <c r="J176" s="131"/>
      <c r="K176" s="143" t="str">
        <f>IF(A176="","",IFERROR(IF(F176="? Non mappe","Compte non trouve - mapper manuellement",IF(AND(ISNUMBER(SEARCH("516",L176)),D176&gt;0),"CAISSE CREDITRICE - anomalie a corriger",IF(IFERROR(INDEX(Table_Complete_CGNC_PCG!$D:$D,MATCH(L176,Table_Complete_CGNC_PCG!$I:$I,0)),"")="?","Retraitement requis - voir table","OK"))),"Erreur"))</f>
        <v/>
      </c>
      <c r="L176" s="141" t="str">
        <f t="shared" si="23"/>
        <v>0</v>
      </c>
      <c r="M176" t="str">
        <f t="shared" si="24"/>
        <v/>
      </c>
      <c r="N176" s="135" t="str">
        <f t="shared" si="25"/>
        <v/>
      </c>
      <c r="O176" s="135" t="str">
        <f t="shared" si="25"/>
        <v/>
      </c>
      <c r="P176" s="135" t="str">
        <f t="shared" si="25"/>
        <v/>
      </c>
      <c r="Q176" s="135" t="str">
        <f t="shared" si="25"/>
        <v/>
      </c>
      <c r="R176" s="135" t="str">
        <f t="shared" si="25"/>
        <v/>
      </c>
      <c r="S176" s="135" t="str">
        <f t="shared" si="25"/>
        <v/>
      </c>
      <c r="T176" s="135" t="str">
        <f t="shared" si="25"/>
        <v/>
      </c>
      <c r="U176" s="135" t="str">
        <f t="shared" si="25"/>
        <v/>
      </c>
    </row>
    <row r="177" spans="1:21" ht="15" customHeight="1" x14ac:dyDescent="0.2">
      <c r="A177" s="163"/>
      <c r="B177" s="154"/>
      <c r="C177" s="155"/>
      <c r="D177" s="155"/>
      <c r="E177" s="131"/>
      <c r="F177" s="146" t="str">
        <f>IF(A177="","",IFERROR(INDEX(Table_Complete_CGNC_PCG!$E:$E,MATCH(L177,Table_Complete_CGNC_PCG!$I:$I,0)),"? Non mappe"))</f>
        <v/>
      </c>
      <c r="G177" s="147" t="str">
        <f>IF(A177="","",IFERROR(INDEX(Table_Complete_CGNC_PCG!$F:$F,MATCH(L177,Table_Complete_CGNC_PCG!$I:$I,0)),"Non trouve — ajouter dans la table"))</f>
        <v/>
      </c>
      <c r="H177" s="148" t="str">
        <f t="shared" si="20"/>
        <v/>
      </c>
      <c r="I177" s="148" t="str">
        <f t="shared" si="21"/>
        <v/>
      </c>
      <c r="J177" s="131"/>
      <c r="K177" s="143" t="str">
        <f>IF(A177="","",IFERROR(IF(F177="? Non mappe","Compte non trouve - mapper manuellement",IF(AND(ISNUMBER(SEARCH("516",L177)),D177&gt;0),"CAISSE CREDITRICE - anomalie a corriger",IF(IFERROR(INDEX(Table_Complete_CGNC_PCG!$D:$D,MATCH(L177,Table_Complete_CGNC_PCG!$I:$I,0)),"")="?","Retraitement requis - voir table","OK"))),"Erreur"))</f>
        <v/>
      </c>
      <c r="L177" s="141" t="str">
        <f t="shared" si="23"/>
        <v>0</v>
      </c>
      <c r="M177" t="str">
        <f t="shared" si="24"/>
        <v/>
      </c>
      <c r="N177" s="135" t="str">
        <f t="shared" si="25"/>
        <v/>
      </c>
      <c r="O177" s="135" t="str">
        <f t="shared" si="25"/>
        <v/>
      </c>
      <c r="P177" s="135" t="str">
        <f t="shared" si="25"/>
        <v/>
      </c>
      <c r="Q177" s="135" t="str">
        <f t="shared" si="25"/>
        <v/>
      </c>
      <c r="R177" s="135" t="str">
        <f t="shared" si="25"/>
        <v/>
      </c>
      <c r="S177" s="135" t="str">
        <f t="shared" si="25"/>
        <v/>
      </c>
      <c r="T177" s="135" t="str">
        <f t="shared" si="25"/>
        <v/>
      </c>
      <c r="U177" s="135" t="str">
        <f t="shared" si="25"/>
        <v/>
      </c>
    </row>
    <row r="178" spans="1:21" ht="15" hidden="1" customHeight="1" x14ac:dyDescent="0.2">
      <c r="A178" s="165"/>
      <c r="B178" s="156"/>
      <c r="C178" s="157"/>
      <c r="D178" s="157"/>
      <c r="E178" s="131"/>
      <c r="F178" s="153" t="str">
        <f>IF(A178="","",IFERROR(INDEX(Table_Complete_CGNC_PCG!$E:$E,MATCH(L178,Table_Complete_CGNC_PCG!$I:$I,0)),"? Non mappe"))</f>
        <v/>
      </c>
      <c r="G178" s="149" t="str">
        <f>IF(A178="","",IFERROR(INDEX(Table_Complete_CGNC_PCG!$F:$F,MATCH(L178,Table_Complete_CGNC_PCG!$I:$I,0)),"Non trouve — ajouter dans la table"))</f>
        <v/>
      </c>
      <c r="H178" s="150" t="str">
        <f t="shared" ref="H178:H202" si="26">IF(OR(A178="",C178="",C178=0),"",ROUND(C178/$C$2,2))</f>
        <v/>
      </c>
      <c r="I178" s="150" t="str">
        <f t="shared" ref="I178:I212" si="27">IF(OR(A178="",D178="",D178=0),"",ROUND(D178/$C$2,2))</f>
        <v/>
      </c>
      <c r="J178" s="131"/>
      <c r="K178" s="134" t="str">
        <f>IF(A178="","",IFERROR(IF(F178="? Non mappe","Compte non trouve - mapper manuellement",IF(AND(ISNUMBER(SEARCH("516",L178)),D178&gt;0),"CAISSE CREDITRICE - anomalie a corriger",IF(IFERROR(INDEX(Table_Complete_CGNC_PCG!$D:$D,MATCH(L178,Table_Complete_CGNC_PCG!$I:$I,0)),"")="?","Retraitement requis - voir table","OK"))),"Erreur"))</f>
        <v/>
      </c>
      <c r="L178" s="141" t="str">
        <f t="shared" si="23"/>
        <v>0</v>
      </c>
      <c r="M178" t="str">
        <f t="shared" si="24"/>
        <v/>
      </c>
      <c r="N178" s="135" t="str">
        <f t="shared" si="25"/>
        <v/>
      </c>
      <c r="O178" s="135" t="str">
        <f t="shared" si="25"/>
        <v/>
      </c>
      <c r="P178" s="135" t="str">
        <f t="shared" si="25"/>
        <v/>
      </c>
      <c r="Q178" s="135" t="str">
        <f t="shared" si="25"/>
        <v/>
      </c>
      <c r="R178" s="135" t="str">
        <f t="shared" si="25"/>
        <v/>
      </c>
      <c r="S178" s="135" t="str">
        <f t="shared" si="25"/>
        <v/>
      </c>
      <c r="T178" s="135" t="str">
        <f t="shared" si="25"/>
        <v/>
      </c>
      <c r="U178" s="135" t="str">
        <f t="shared" si="25"/>
        <v/>
      </c>
    </row>
    <row r="179" spans="1:21" ht="15" hidden="1" customHeight="1" x14ac:dyDescent="0.2">
      <c r="A179" s="163"/>
      <c r="B179" s="154"/>
      <c r="C179" s="155"/>
      <c r="D179" s="155"/>
      <c r="E179" s="131"/>
      <c r="F179" s="146" t="str">
        <f>IF(A179="","",IFERROR(INDEX(Table_Complete_CGNC_PCG!$E:$E,MATCH(L179,Table_Complete_CGNC_PCG!$I:$I,0)),"? Non mappe"))</f>
        <v/>
      </c>
      <c r="G179" s="147" t="str">
        <f>IF(A179="","",IFERROR(INDEX(Table_Complete_CGNC_PCG!$F:$F,MATCH(L179,Table_Complete_CGNC_PCG!$I:$I,0)),"Non trouve — ajouter dans la table"))</f>
        <v/>
      </c>
      <c r="H179" s="148" t="str">
        <f t="shared" si="26"/>
        <v/>
      </c>
      <c r="I179" s="148" t="str">
        <f t="shared" si="27"/>
        <v/>
      </c>
      <c r="J179" s="131"/>
      <c r="K179" s="133" t="str">
        <f>IF(A179="","",IFERROR(IF(F179="? Non mappe","Compte non trouve - mapper manuellement",IF(AND(ISNUMBER(SEARCH("516",L179)),D179&gt;0),"CAISSE CREDITRICE - anomalie a corriger",IF(IFERROR(INDEX(Table_Complete_CGNC_PCG!$D:$D,MATCH(L179,Table_Complete_CGNC_PCG!$I:$I,0)),"")="?","Retraitement requis - voir table","OK"))),"Erreur"))</f>
        <v/>
      </c>
      <c r="L179" s="141" t="str">
        <f t="shared" si="23"/>
        <v>0</v>
      </c>
      <c r="M179" t="str">
        <f t="shared" si="24"/>
        <v/>
      </c>
      <c r="N179" s="135" t="str">
        <f t="shared" si="25"/>
        <v/>
      </c>
      <c r="O179" s="135" t="str">
        <f t="shared" si="25"/>
        <v/>
      </c>
      <c r="P179" s="135" t="str">
        <f t="shared" si="25"/>
        <v/>
      </c>
      <c r="Q179" s="135" t="str">
        <f t="shared" si="25"/>
        <v/>
      </c>
      <c r="R179" s="135" t="str">
        <f t="shared" si="25"/>
        <v/>
      </c>
      <c r="S179" s="135" t="str">
        <f t="shared" si="25"/>
        <v/>
      </c>
      <c r="T179" s="135" t="str">
        <f t="shared" si="25"/>
        <v/>
      </c>
      <c r="U179" s="135" t="str">
        <f t="shared" si="25"/>
        <v/>
      </c>
    </row>
    <row r="180" spans="1:21" ht="15" hidden="1" customHeight="1" x14ac:dyDescent="0.2">
      <c r="A180" s="165"/>
      <c r="B180" s="156"/>
      <c r="C180" s="157"/>
      <c r="D180" s="157"/>
      <c r="E180" s="131"/>
      <c r="F180" s="153" t="str">
        <f>IF(A180="","",IFERROR(INDEX(Table_Complete_CGNC_PCG!$E:$E,MATCH(L180,Table_Complete_CGNC_PCG!$I:$I,0)),"? Non mappe"))</f>
        <v/>
      </c>
      <c r="G180" s="149" t="str">
        <f>IF(A180="","",IFERROR(INDEX(Table_Complete_CGNC_PCG!$F:$F,MATCH(L180,Table_Complete_CGNC_PCG!$I:$I,0)),"Non trouve — ajouter dans la table"))</f>
        <v/>
      </c>
      <c r="H180" s="150" t="str">
        <f t="shared" si="26"/>
        <v/>
      </c>
      <c r="I180" s="150" t="str">
        <f t="shared" si="27"/>
        <v/>
      </c>
      <c r="J180" s="131"/>
      <c r="K180" s="134" t="str">
        <f>IF(A180="","",IFERROR(IF(F180="? Non mappe","Compte non trouve - mapper manuellement",IF(AND(ISNUMBER(SEARCH("516",L180)),D180&gt;0),"CAISSE CREDITRICE - anomalie a corriger",IF(IFERROR(INDEX(Table_Complete_CGNC_PCG!$D:$D,MATCH(L180,Table_Complete_CGNC_PCG!$I:$I,0)),"")="?","Retraitement requis - voir table","OK"))),"Erreur"))</f>
        <v/>
      </c>
      <c r="L180" s="141" t="str">
        <f t="shared" si="23"/>
        <v>0</v>
      </c>
      <c r="M180" t="str">
        <f t="shared" si="24"/>
        <v/>
      </c>
      <c r="N180" s="135" t="str">
        <f t="shared" ref="N180:U195" si="28">IF(M180="","",IF(AND(LEN(M180)&gt;3,RIGHT(M180,1)="0"),LEFT(M180,LEN(M180)-1),M180))</f>
        <v/>
      </c>
      <c r="O180" s="135" t="str">
        <f t="shared" si="28"/>
        <v/>
      </c>
      <c r="P180" s="135" t="str">
        <f t="shared" si="28"/>
        <v/>
      </c>
      <c r="Q180" s="135" t="str">
        <f t="shared" si="28"/>
        <v/>
      </c>
      <c r="R180" s="135" t="str">
        <f t="shared" si="28"/>
        <v/>
      </c>
      <c r="S180" s="135" t="str">
        <f t="shared" si="28"/>
        <v/>
      </c>
      <c r="T180" s="135" t="str">
        <f t="shared" si="28"/>
        <v/>
      </c>
      <c r="U180" s="135" t="str">
        <f t="shared" si="28"/>
        <v/>
      </c>
    </row>
    <row r="181" spans="1:21" ht="15" hidden="1" customHeight="1" x14ac:dyDescent="0.2">
      <c r="A181" s="163"/>
      <c r="B181" s="154"/>
      <c r="C181" s="155"/>
      <c r="D181" s="155"/>
      <c r="E181" s="131"/>
      <c r="F181" s="146" t="str">
        <f>IF(A181="","",IFERROR(INDEX(Table_Complete_CGNC_PCG!$E:$E,MATCH(L181,Table_Complete_CGNC_PCG!$I:$I,0)),"? Non mappe"))</f>
        <v/>
      </c>
      <c r="G181" s="147" t="str">
        <f>IF(A181="","",IFERROR(INDEX(Table_Complete_CGNC_PCG!$F:$F,MATCH(L181,Table_Complete_CGNC_PCG!$I:$I,0)),"Non trouve — ajouter dans la table"))</f>
        <v/>
      </c>
      <c r="H181" s="148" t="str">
        <f t="shared" si="26"/>
        <v/>
      </c>
      <c r="I181" s="148" t="str">
        <f t="shared" si="27"/>
        <v/>
      </c>
      <c r="J181" s="131"/>
      <c r="K181" s="133" t="str">
        <f>IF(A181="","",IFERROR(IF(F181="? Non mappe","Compte non trouve - mapper manuellement",IF(AND(ISNUMBER(SEARCH("516",L181)),D181&gt;0),"CAISSE CREDITRICE - anomalie a corriger",IF(IFERROR(INDEX(Table_Complete_CGNC_PCG!$D:$D,MATCH(L181,Table_Complete_CGNC_PCG!$I:$I,0)),"")="?","Retraitement requis - voir table","OK"))),"Erreur"))</f>
        <v/>
      </c>
      <c r="L181" s="141" t="str">
        <f t="shared" si="23"/>
        <v>0</v>
      </c>
      <c r="M181" t="str">
        <f t="shared" si="24"/>
        <v/>
      </c>
      <c r="N181" s="135" t="str">
        <f t="shared" si="28"/>
        <v/>
      </c>
      <c r="O181" s="135" t="str">
        <f t="shared" si="28"/>
        <v/>
      </c>
      <c r="P181" s="135" t="str">
        <f t="shared" si="28"/>
        <v/>
      </c>
      <c r="Q181" s="135" t="str">
        <f t="shared" si="28"/>
        <v/>
      </c>
      <c r="R181" s="135" t="str">
        <f t="shared" si="28"/>
        <v/>
      </c>
      <c r="S181" s="135" t="str">
        <f t="shared" si="28"/>
        <v/>
      </c>
      <c r="T181" s="135" t="str">
        <f t="shared" si="28"/>
        <v/>
      </c>
      <c r="U181" s="135" t="str">
        <f t="shared" si="28"/>
        <v/>
      </c>
    </row>
    <row r="182" spans="1:21" ht="15" hidden="1" customHeight="1" x14ac:dyDescent="0.2">
      <c r="A182" s="165"/>
      <c r="B182" s="156"/>
      <c r="C182" s="157"/>
      <c r="D182" s="157"/>
      <c r="E182" s="131"/>
      <c r="F182" s="153" t="str">
        <f>IF(A182="","",IFERROR(INDEX(Table_Complete_CGNC_PCG!$E:$E,MATCH(L182,Table_Complete_CGNC_PCG!$I:$I,0)),"? Non mappe"))</f>
        <v/>
      </c>
      <c r="G182" s="149" t="str">
        <f>IF(A182="","",IFERROR(INDEX(Table_Complete_CGNC_PCG!$F:$F,MATCH(L182,Table_Complete_CGNC_PCG!$I:$I,0)),"Non trouve — ajouter dans la table"))</f>
        <v/>
      </c>
      <c r="H182" s="150" t="str">
        <f t="shared" si="26"/>
        <v/>
      </c>
      <c r="I182" s="150" t="str">
        <f t="shared" si="27"/>
        <v/>
      </c>
      <c r="J182" s="131"/>
      <c r="K182" s="134" t="str">
        <f>IF(A182="","",IFERROR(IF(F182="? Non mappe","Compte non trouve - mapper manuellement",IF(AND(ISNUMBER(SEARCH("516",L182)),D182&gt;0),"CAISSE CREDITRICE - anomalie a corriger",IF(IFERROR(INDEX(Table_Complete_CGNC_PCG!$D:$D,MATCH(L182,Table_Complete_CGNC_PCG!$I:$I,0)),"")="?","Retraitement requis - voir table","OK"))),"Erreur"))</f>
        <v/>
      </c>
      <c r="L182" s="141" t="str">
        <f t="shared" si="23"/>
        <v>0</v>
      </c>
      <c r="M182" t="str">
        <f t="shared" si="24"/>
        <v/>
      </c>
      <c r="N182" s="135" t="str">
        <f t="shared" si="28"/>
        <v/>
      </c>
      <c r="O182" s="135" t="str">
        <f t="shared" si="28"/>
        <v/>
      </c>
      <c r="P182" s="135" t="str">
        <f t="shared" si="28"/>
        <v/>
      </c>
      <c r="Q182" s="135" t="str">
        <f t="shared" si="28"/>
        <v/>
      </c>
      <c r="R182" s="135" t="str">
        <f t="shared" si="28"/>
        <v/>
      </c>
      <c r="S182" s="135" t="str">
        <f t="shared" si="28"/>
        <v/>
      </c>
      <c r="T182" s="135" t="str">
        <f t="shared" si="28"/>
        <v/>
      </c>
      <c r="U182" s="135" t="str">
        <f t="shared" si="28"/>
        <v/>
      </c>
    </row>
    <row r="183" spans="1:21" ht="15" hidden="1" customHeight="1" x14ac:dyDescent="0.2">
      <c r="A183" s="163"/>
      <c r="B183" s="154"/>
      <c r="C183" s="155"/>
      <c r="D183" s="155"/>
      <c r="E183" s="131"/>
      <c r="F183" s="146" t="str">
        <f>IF(A183="","",IFERROR(INDEX(Table_Complete_CGNC_PCG!$E:$E,MATCH(L183,Table_Complete_CGNC_PCG!$I:$I,0)),"? Non mappe"))</f>
        <v/>
      </c>
      <c r="G183" s="147" t="str">
        <f>IF(A183="","",IFERROR(INDEX(Table_Complete_CGNC_PCG!$F:$F,MATCH(L183,Table_Complete_CGNC_PCG!$I:$I,0)),"Non trouve — ajouter dans la table"))</f>
        <v/>
      </c>
      <c r="H183" s="148" t="str">
        <f t="shared" si="26"/>
        <v/>
      </c>
      <c r="I183" s="148" t="str">
        <f t="shared" si="27"/>
        <v/>
      </c>
      <c r="J183" s="131"/>
      <c r="K183" s="133" t="str">
        <f>IF(A183="","",IFERROR(IF(F183="? Non mappe","Compte non trouve - mapper manuellement",IF(AND(ISNUMBER(SEARCH("516",L183)),D183&gt;0),"CAISSE CREDITRICE - anomalie a corriger",IF(IFERROR(INDEX(Table_Complete_CGNC_PCG!$D:$D,MATCH(L183,Table_Complete_CGNC_PCG!$I:$I,0)),"")="?","Retraitement requis - voir table","OK"))),"Erreur"))</f>
        <v/>
      </c>
      <c r="L183" s="141" t="str">
        <f t="shared" si="23"/>
        <v>0</v>
      </c>
      <c r="M183" t="str">
        <f t="shared" si="24"/>
        <v/>
      </c>
      <c r="N183" s="135" t="str">
        <f t="shared" si="28"/>
        <v/>
      </c>
      <c r="O183" s="135" t="str">
        <f t="shared" si="28"/>
        <v/>
      </c>
      <c r="P183" s="135" t="str">
        <f t="shared" si="28"/>
        <v/>
      </c>
      <c r="Q183" s="135" t="str">
        <f t="shared" si="28"/>
        <v/>
      </c>
      <c r="R183" s="135" t="str">
        <f t="shared" si="28"/>
        <v/>
      </c>
      <c r="S183" s="135" t="str">
        <f t="shared" si="28"/>
        <v/>
      </c>
      <c r="T183" s="135" t="str">
        <f t="shared" si="28"/>
        <v/>
      </c>
      <c r="U183" s="135" t="str">
        <f t="shared" si="28"/>
        <v/>
      </c>
    </row>
    <row r="184" spans="1:21" ht="15" hidden="1" customHeight="1" x14ac:dyDescent="0.2">
      <c r="A184" s="165"/>
      <c r="B184" s="156"/>
      <c r="C184" s="157"/>
      <c r="D184" s="157"/>
      <c r="E184" s="131"/>
      <c r="F184" s="153" t="str">
        <f>IF(A184="","",IFERROR(INDEX(Table_Complete_CGNC_PCG!$E:$E,MATCH(L184,Table_Complete_CGNC_PCG!$I:$I,0)),"? Non mappe"))</f>
        <v/>
      </c>
      <c r="G184" s="149" t="str">
        <f>IF(A184="","",IFERROR(INDEX(Table_Complete_CGNC_PCG!$F:$F,MATCH(L184,Table_Complete_CGNC_PCG!$I:$I,0)),"Non trouve — ajouter dans la table"))</f>
        <v/>
      </c>
      <c r="H184" s="150" t="str">
        <f t="shared" si="26"/>
        <v/>
      </c>
      <c r="I184" s="150" t="str">
        <f t="shared" si="27"/>
        <v/>
      </c>
      <c r="J184" s="131"/>
      <c r="K184" s="134" t="str">
        <f>IF(A184="","",IFERROR(IF(F184="? Non mappe","Compte non trouve - mapper manuellement",IF(AND(ISNUMBER(SEARCH("516",L184)),D184&gt;0),"CAISSE CREDITRICE - anomalie a corriger",IF(IFERROR(INDEX(Table_Complete_CGNC_PCG!$D:$D,MATCH(L184,Table_Complete_CGNC_PCG!$I:$I,0)),"")="?","Retraitement requis - voir table","OK"))),"Erreur"))</f>
        <v/>
      </c>
      <c r="L184" s="141" t="str">
        <f t="shared" si="23"/>
        <v>0</v>
      </c>
      <c r="M184" t="str">
        <f t="shared" si="24"/>
        <v/>
      </c>
      <c r="N184" s="135" t="str">
        <f t="shared" si="28"/>
        <v/>
      </c>
      <c r="O184" s="135" t="str">
        <f t="shared" si="28"/>
        <v/>
      </c>
      <c r="P184" s="135" t="str">
        <f t="shared" si="28"/>
        <v/>
      </c>
      <c r="Q184" s="135" t="str">
        <f t="shared" si="28"/>
        <v/>
      </c>
      <c r="R184" s="135" t="str">
        <f t="shared" si="28"/>
        <v/>
      </c>
      <c r="S184" s="135" t="str">
        <f t="shared" si="28"/>
        <v/>
      </c>
      <c r="T184" s="135" t="str">
        <f t="shared" si="28"/>
        <v/>
      </c>
      <c r="U184" s="135" t="str">
        <f t="shared" si="28"/>
        <v/>
      </c>
    </row>
    <row r="185" spans="1:21" ht="15" hidden="1" customHeight="1" x14ac:dyDescent="0.2">
      <c r="A185" s="163"/>
      <c r="B185" s="154"/>
      <c r="C185" s="155"/>
      <c r="D185" s="155"/>
      <c r="E185" s="131"/>
      <c r="F185" s="146" t="str">
        <f>IF(A185="","",IFERROR(INDEX(Table_Complete_CGNC_PCG!$E:$E,MATCH(L185,Table_Complete_CGNC_PCG!$I:$I,0)),"? Non mappe"))</f>
        <v/>
      </c>
      <c r="G185" s="147" t="str">
        <f>IF(A185="","",IFERROR(INDEX(Table_Complete_CGNC_PCG!$F:$F,MATCH(L185,Table_Complete_CGNC_PCG!$I:$I,0)),"Non trouve — ajouter dans la table"))</f>
        <v/>
      </c>
      <c r="H185" s="148" t="str">
        <f t="shared" si="26"/>
        <v/>
      </c>
      <c r="I185" s="148" t="str">
        <f t="shared" si="27"/>
        <v/>
      </c>
      <c r="J185" s="131"/>
      <c r="K185" s="133" t="str">
        <f>IF(A185="","",IFERROR(IF(F185="? Non mappe","Compte non trouve - mapper manuellement",IF(AND(ISNUMBER(SEARCH("516",L185)),D185&gt;0),"CAISSE CREDITRICE - anomalie a corriger",IF(IFERROR(INDEX(Table_Complete_CGNC_PCG!$D:$D,MATCH(L185,Table_Complete_CGNC_PCG!$I:$I,0)),"")="?","Retraitement requis - voir table","OK"))),"Erreur"))</f>
        <v/>
      </c>
      <c r="L185" s="141" t="str">
        <f t="shared" si="23"/>
        <v>0</v>
      </c>
      <c r="M185" t="str">
        <f t="shared" si="24"/>
        <v/>
      </c>
      <c r="N185" s="135" t="str">
        <f t="shared" si="28"/>
        <v/>
      </c>
      <c r="O185" s="135" t="str">
        <f t="shared" si="28"/>
        <v/>
      </c>
      <c r="P185" s="135" t="str">
        <f t="shared" si="28"/>
        <v/>
      </c>
      <c r="Q185" s="135" t="str">
        <f t="shared" si="28"/>
        <v/>
      </c>
      <c r="R185" s="135" t="str">
        <f t="shared" si="28"/>
        <v/>
      </c>
      <c r="S185" s="135" t="str">
        <f t="shared" si="28"/>
        <v/>
      </c>
      <c r="T185" s="135" t="str">
        <f t="shared" si="28"/>
        <v/>
      </c>
      <c r="U185" s="135" t="str">
        <f t="shared" si="28"/>
        <v/>
      </c>
    </row>
    <row r="186" spans="1:21" ht="15" hidden="1" customHeight="1" x14ac:dyDescent="0.2">
      <c r="A186" s="165"/>
      <c r="B186" s="156"/>
      <c r="C186" s="157"/>
      <c r="D186" s="157"/>
      <c r="E186" s="131"/>
      <c r="F186" s="153" t="str">
        <f>IF(A186="","",IFERROR(INDEX(Table_Complete_CGNC_PCG!$E:$E,MATCH(L186,Table_Complete_CGNC_PCG!$I:$I,0)),"? Non mappe"))</f>
        <v/>
      </c>
      <c r="G186" s="149" t="str">
        <f>IF(A186="","",IFERROR(INDEX(Table_Complete_CGNC_PCG!$F:$F,MATCH(L186,Table_Complete_CGNC_PCG!$I:$I,0)),"Non trouve — ajouter dans la table"))</f>
        <v/>
      </c>
      <c r="H186" s="150" t="str">
        <f t="shared" si="26"/>
        <v/>
      </c>
      <c r="I186" s="150" t="str">
        <f t="shared" si="27"/>
        <v/>
      </c>
      <c r="J186" s="131"/>
      <c r="K186" s="134" t="str">
        <f>IF(A186="","",IFERROR(IF(F186="? Non mappe","Compte non trouve - mapper manuellement",IF(AND(ISNUMBER(SEARCH("516",L186)),D186&gt;0),"CAISSE CREDITRICE - anomalie a corriger",IF(IFERROR(INDEX(Table_Complete_CGNC_PCG!$D:$D,MATCH(L186,Table_Complete_CGNC_PCG!$I:$I,0)),"")="?","Retraitement requis - voir table","OK"))),"Erreur"))</f>
        <v/>
      </c>
      <c r="L186" s="141" t="str">
        <f t="shared" si="23"/>
        <v>0</v>
      </c>
      <c r="M186" t="str">
        <f t="shared" si="24"/>
        <v/>
      </c>
      <c r="N186" s="135" t="str">
        <f t="shared" si="28"/>
        <v/>
      </c>
      <c r="O186" s="135" t="str">
        <f t="shared" si="28"/>
        <v/>
      </c>
      <c r="P186" s="135" t="str">
        <f t="shared" si="28"/>
        <v/>
      </c>
      <c r="Q186" s="135" t="str">
        <f t="shared" si="28"/>
        <v/>
      </c>
      <c r="R186" s="135" t="str">
        <f t="shared" si="28"/>
        <v/>
      </c>
      <c r="S186" s="135" t="str">
        <f t="shared" si="28"/>
        <v/>
      </c>
      <c r="T186" s="135" t="str">
        <f t="shared" si="28"/>
        <v/>
      </c>
      <c r="U186" s="135" t="str">
        <f t="shared" si="28"/>
        <v/>
      </c>
    </row>
    <row r="187" spans="1:21" ht="15" hidden="1" customHeight="1" x14ac:dyDescent="0.2">
      <c r="A187" s="163"/>
      <c r="B187" s="154"/>
      <c r="C187" s="155"/>
      <c r="D187" s="155"/>
      <c r="E187" s="131"/>
      <c r="F187" s="146" t="str">
        <f>IF(A187="","",IFERROR(INDEX(Table_Complete_CGNC_PCG!$E:$E,MATCH(L187,Table_Complete_CGNC_PCG!$I:$I,0)),"? Non mappe"))</f>
        <v/>
      </c>
      <c r="G187" s="147" t="str">
        <f>IF(A187="","",IFERROR(INDEX(Table_Complete_CGNC_PCG!$F:$F,MATCH(L187,Table_Complete_CGNC_PCG!$I:$I,0)),"Non trouve — ajouter dans la table"))</f>
        <v/>
      </c>
      <c r="H187" s="148" t="str">
        <f t="shared" si="26"/>
        <v/>
      </c>
      <c r="I187" s="148" t="str">
        <f t="shared" si="27"/>
        <v/>
      </c>
      <c r="J187" s="131"/>
      <c r="K187" s="133" t="str">
        <f>IF(A187="","",IFERROR(IF(F187="? Non mappe","Compte non trouve - mapper manuellement",IF(AND(ISNUMBER(SEARCH("516",L187)),D187&gt;0),"CAISSE CREDITRICE - anomalie a corriger",IF(IFERROR(INDEX(Table_Complete_CGNC_PCG!$D:$D,MATCH(L187,Table_Complete_CGNC_PCG!$I:$I,0)),"")="?","Retraitement requis - voir table","OK"))),"Erreur"))</f>
        <v/>
      </c>
      <c r="L187" s="141" t="str">
        <f t="shared" ref="L187:L212" si="29">LEFT(TEXT(A187,"0"),4)</f>
        <v>0</v>
      </c>
      <c r="M187" t="str">
        <f t="shared" ref="M187:M212" si="30">IF(A187="","",TRIM(A187&amp;""))</f>
        <v/>
      </c>
      <c r="N187" s="135" t="str">
        <f t="shared" si="28"/>
        <v/>
      </c>
      <c r="O187" s="135" t="str">
        <f t="shared" si="28"/>
        <v/>
      </c>
      <c r="P187" s="135" t="str">
        <f t="shared" si="28"/>
        <v/>
      </c>
      <c r="Q187" s="135" t="str">
        <f t="shared" si="28"/>
        <v/>
      </c>
      <c r="R187" s="135" t="str">
        <f t="shared" si="28"/>
        <v/>
      </c>
      <c r="S187" s="135" t="str">
        <f t="shared" si="28"/>
        <v/>
      </c>
      <c r="T187" s="135" t="str">
        <f t="shared" si="28"/>
        <v/>
      </c>
      <c r="U187" s="135" t="str">
        <f t="shared" si="28"/>
        <v/>
      </c>
    </row>
    <row r="188" spans="1:21" ht="15" hidden="1" customHeight="1" x14ac:dyDescent="0.2">
      <c r="A188" s="165"/>
      <c r="B188" s="156"/>
      <c r="C188" s="157"/>
      <c r="D188" s="157"/>
      <c r="E188" s="131"/>
      <c r="F188" s="153" t="str">
        <f>IF(A188="","",IFERROR(INDEX(Table_Complete_CGNC_PCG!$E:$E,MATCH(L188,Table_Complete_CGNC_PCG!$I:$I,0)),"? Non mappe"))</f>
        <v/>
      </c>
      <c r="G188" s="149" t="str">
        <f>IF(A188="","",IFERROR(INDEX(Table_Complete_CGNC_PCG!$F:$F,MATCH(L188,Table_Complete_CGNC_PCG!$I:$I,0)),"Non trouve — ajouter dans la table"))</f>
        <v/>
      </c>
      <c r="H188" s="150" t="str">
        <f t="shared" si="26"/>
        <v/>
      </c>
      <c r="I188" s="150" t="str">
        <f t="shared" si="27"/>
        <v/>
      </c>
      <c r="J188" s="131"/>
      <c r="K188" s="134" t="str">
        <f>IF(A188="","",IFERROR(IF(F188="? Non mappe","Compte non trouve - mapper manuellement",IF(AND(ISNUMBER(SEARCH("516",L188)),D188&gt;0),"CAISSE CREDITRICE - anomalie a corriger",IF(IFERROR(INDEX(Table_Complete_CGNC_PCG!$D:$D,MATCH(L188,Table_Complete_CGNC_PCG!$I:$I,0)),"")="?","Retraitement requis - voir table","OK"))),"Erreur"))</f>
        <v/>
      </c>
      <c r="L188" s="141" t="str">
        <f t="shared" si="29"/>
        <v>0</v>
      </c>
      <c r="M188" t="str">
        <f t="shared" si="30"/>
        <v/>
      </c>
      <c r="N188" s="135" t="str">
        <f t="shared" si="28"/>
        <v/>
      </c>
      <c r="O188" s="135" t="str">
        <f t="shared" si="28"/>
        <v/>
      </c>
      <c r="P188" s="135" t="str">
        <f t="shared" si="28"/>
        <v/>
      </c>
      <c r="Q188" s="135" t="str">
        <f t="shared" si="28"/>
        <v/>
      </c>
      <c r="R188" s="135" t="str">
        <f t="shared" si="28"/>
        <v/>
      </c>
      <c r="S188" s="135" t="str">
        <f t="shared" si="28"/>
        <v/>
      </c>
      <c r="T188" s="135" t="str">
        <f t="shared" si="28"/>
        <v/>
      </c>
      <c r="U188" s="135" t="str">
        <f t="shared" si="28"/>
        <v/>
      </c>
    </row>
    <row r="189" spans="1:21" ht="15" hidden="1" customHeight="1" x14ac:dyDescent="0.2">
      <c r="A189" s="163"/>
      <c r="B189" s="154"/>
      <c r="C189" s="155"/>
      <c r="D189" s="155"/>
      <c r="E189" s="131"/>
      <c r="F189" s="146" t="str">
        <f>IF(A189="","",IFERROR(INDEX(Table_Complete_CGNC_PCG!$E:$E,MATCH(L189,Table_Complete_CGNC_PCG!$I:$I,0)),"? Non mappe"))</f>
        <v/>
      </c>
      <c r="G189" s="147" t="str">
        <f>IF(A189="","",IFERROR(INDEX(Table_Complete_CGNC_PCG!$F:$F,MATCH(L189,Table_Complete_CGNC_PCG!$I:$I,0)),"Non trouve — ajouter dans la table"))</f>
        <v/>
      </c>
      <c r="H189" s="148" t="str">
        <f t="shared" si="26"/>
        <v/>
      </c>
      <c r="I189" s="148" t="str">
        <f t="shared" si="27"/>
        <v/>
      </c>
      <c r="J189" s="131"/>
      <c r="K189" s="133" t="str">
        <f>IF(A189="","",IFERROR(IF(F189="? Non mappe","Compte non trouve - mapper manuellement",IF(AND(ISNUMBER(SEARCH("516",L189)),D189&gt;0),"CAISSE CREDITRICE - anomalie a corriger",IF(IFERROR(INDEX(Table_Complete_CGNC_PCG!$D:$D,MATCH(L189,Table_Complete_CGNC_PCG!$I:$I,0)),"")="?","Retraitement requis - voir table","OK"))),"Erreur"))</f>
        <v/>
      </c>
      <c r="L189" s="141" t="str">
        <f t="shared" si="29"/>
        <v>0</v>
      </c>
      <c r="M189" t="str">
        <f t="shared" si="30"/>
        <v/>
      </c>
      <c r="N189" s="135" t="str">
        <f t="shared" si="28"/>
        <v/>
      </c>
      <c r="O189" s="135" t="str">
        <f t="shared" si="28"/>
        <v/>
      </c>
      <c r="P189" s="135" t="str">
        <f t="shared" si="28"/>
        <v/>
      </c>
      <c r="Q189" s="135" t="str">
        <f t="shared" si="28"/>
        <v/>
      </c>
      <c r="R189" s="135" t="str">
        <f t="shared" si="28"/>
        <v/>
      </c>
      <c r="S189" s="135" t="str">
        <f t="shared" si="28"/>
        <v/>
      </c>
      <c r="T189" s="135" t="str">
        <f t="shared" si="28"/>
        <v/>
      </c>
      <c r="U189" s="135" t="str">
        <f t="shared" si="28"/>
        <v/>
      </c>
    </row>
    <row r="190" spans="1:21" ht="15" hidden="1" customHeight="1" x14ac:dyDescent="0.2">
      <c r="A190" s="165"/>
      <c r="B190" s="156"/>
      <c r="C190" s="157"/>
      <c r="D190" s="157"/>
      <c r="E190" s="131"/>
      <c r="F190" s="153" t="str">
        <f>IF(A190="","",IFERROR(INDEX(Table_Complete_CGNC_PCG!$E:$E,MATCH(L190,Table_Complete_CGNC_PCG!$I:$I,0)),"? Non mappe"))</f>
        <v/>
      </c>
      <c r="G190" s="149" t="str">
        <f>IF(A190="","",IFERROR(INDEX(Table_Complete_CGNC_PCG!$F:$F,MATCH(L190,Table_Complete_CGNC_PCG!$I:$I,0)),"Non trouve — ajouter dans la table"))</f>
        <v/>
      </c>
      <c r="H190" s="150" t="str">
        <f t="shared" si="26"/>
        <v/>
      </c>
      <c r="I190" s="150" t="str">
        <f t="shared" si="27"/>
        <v/>
      </c>
      <c r="J190" s="131"/>
      <c r="K190" s="134" t="str">
        <f>IF(A190="","",IFERROR(IF(F190="? Non mappe","Compte non trouve - mapper manuellement",IF(AND(ISNUMBER(SEARCH("516",L190)),D190&gt;0),"CAISSE CREDITRICE - anomalie a corriger",IF(IFERROR(INDEX(Table_Complete_CGNC_PCG!$D:$D,MATCH(L190,Table_Complete_CGNC_PCG!$I:$I,0)),"")="?","Retraitement requis - voir table","OK"))),"Erreur"))</f>
        <v/>
      </c>
      <c r="L190" s="141" t="str">
        <f t="shared" si="29"/>
        <v>0</v>
      </c>
      <c r="M190" t="str">
        <f t="shared" si="30"/>
        <v/>
      </c>
      <c r="N190" s="135" t="str">
        <f t="shared" si="28"/>
        <v/>
      </c>
      <c r="O190" s="135" t="str">
        <f t="shared" si="28"/>
        <v/>
      </c>
      <c r="P190" s="135" t="str">
        <f t="shared" si="28"/>
        <v/>
      </c>
      <c r="Q190" s="135" t="str">
        <f t="shared" si="28"/>
        <v/>
      </c>
      <c r="R190" s="135" t="str">
        <f t="shared" si="28"/>
        <v/>
      </c>
      <c r="S190" s="135" t="str">
        <f t="shared" si="28"/>
        <v/>
      </c>
      <c r="T190" s="135" t="str">
        <f t="shared" si="28"/>
        <v/>
      </c>
      <c r="U190" s="135" t="str">
        <f t="shared" si="28"/>
        <v/>
      </c>
    </row>
    <row r="191" spans="1:21" ht="15" hidden="1" customHeight="1" x14ac:dyDescent="0.2">
      <c r="A191" s="163"/>
      <c r="B191" s="154"/>
      <c r="C191" s="155"/>
      <c r="D191" s="155"/>
      <c r="E191" s="131"/>
      <c r="F191" s="146" t="str">
        <f>IF(A191="","",IFERROR(INDEX(Table_Complete_CGNC_PCG!$E:$E,MATCH(L191,Table_Complete_CGNC_PCG!$I:$I,0)),"? Non mappe"))</f>
        <v/>
      </c>
      <c r="G191" s="147" t="str">
        <f>IF(A191="","",IFERROR(INDEX(Table_Complete_CGNC_PCG!$F:$F,MATCH(L191,Table_Complete_CGNC_PCG!$I:$I,0)),"Non trouve — ajouter dans la table"))</f>
        <v/>
      </c>
      <c r="H191" s="148" t="str">
        <f t="shared" si="26"/>
        <v/>
      </c>
      <c r="I191" s="148" t="str">
        <f t="shared" si="27"/>
        <v/>
      </c>
      <c r="J191" s="131"/>
      <c r="K191" s="133" t="str">
        <f>IF(A191="","",IFERROR(IF(F191="? Non mappe","Compte non trouve - mapper manuellement",IF(AND(ISNUMBER(SEARCH("516",L191)),D191&gt;0),"CAISSE CREDITRICE - anomalie a corriger",IF(IFERROR(INDEX(Table_Complete_CGNC_PCG!$D:$D,MATCH(L191,Table_Complete_CGNC_PCG!$I:$I,0)),"")="?","Retraitement requis - voir table","OK"))),"Erreur"))</f>
        <v/>
      </c>
      <c r="L191" s="141" t="str">
        <f t="shared" si="29"/>
        <v>0</v>
      </c>
      <c r="M191" t="str">
        <f t="shared" si="30"/>
        <v/>
      </c>
      <c r="N191" s="135" t="str">
        <f t="shared" si="28"/>
        <v/>
      </c>
      <c r="O191" s="135" t="str">
        <f t="shared" si="28"/>
        <v/>
      </c>
      <c r="P191" s="135" t="str">
        <f t="shared" si="28"/>
        <v/>
      </c>
      <c r="Q191" s="135" t="str">
        <f t="shared" si="28"/>
        <v/>
      </c>
      <c r="R191" s="135" t="str">
        <f t="shared" si="28"/>
        <v/>
      </c>
      <c r="S191" s="135" t="str">
        <f t="shared" si="28"/>
        <v/>
      </c>
      <c r="T191" s="135" t="str">
        <f t="shared" si="28"/>
        <v/>
      </c>
      <c r="U191" s="135" t="str">
        <f t="shared" si="28"/>
        <v/>
      </c>
    </row>
    <row r="192" spans="1:21" ht="15" hidden="1" customHeight="1" x14ac:dyDescent="0.2">
      <c r="A192" s="165"/>
      <c r="B192" s="156"/>
      <c r="C192" s="157"/>
      <c r="D192" s="157"/>
      <c r="E192" s="131"/>
      <c r="F192" s="153" t="str">
        <f>IF(A192="","",IFERROR(INDEX(Table_Complete_CGNC_PCG!$E:$E,MATCH(L192,Table_Complete_CGNC_PCG!$I:$I,0)),"? Non mappe"))</f>
        <v/>
      </c>
      <c r="G192" s="149" t="str">
        <f>IF(A192="","",IFERROR(INDEX(Table_Complete_CGNC_PCG!$F:$F,MATCH(L192,Table_Complete_CGNC_PCG!$I:$I,0)),"Non trouve — ajouter dans la table"))</f>
        <v/>
      </c>
      <c r="H192" s="150" t="str">
        <f t="shared" si="26"/>
        <v/>
      </c>
      <c r="I192" s="150" t="str">
        <f t="shared" si="27"/>
        <v/>
      </c>
      <c r="J192" s="131"/>
      <c r="K192" s="134" t="str">
        <f>IF(A192="","",IFERROR(IF(F192="? Non mappe","Compte non trouve - mapper manuellement",IF(AND(ISNUMBER(SEARCH("516",L192)),D192&gt;0),"CAISSE CREDITRICE - anomalie a corriger",IF(IFERROR(INDEX(Table_Complete_CGNC_PCG!$D:$D,MATCH(L192,Table_Complete_CGNC_PCG!$I:$I,0)),"")="?","Retraitement requis - voir table","OK"))),"Erreur"))</f>
        <v/>
      </c>
      <c r="L192" s="141" t="str">
        <f t="shared" si="29"/>
        <v>0</v>
      </c>
      <c r="M192" t="str">
        <f t="shared" si="30"/>
        <v/>
      </c>
      <c r="N192" s="135" t="str">
        <f t="shared" si="28"/>
        <v/>
      </c>
      <c r="O192" s="135" t="str">
        <f t="shared" si="28"/>
        <v/>
      </c>
      <c r="P192" s="135" t="str">
        <f t="shared" si="28"/>
        <v/>
      </c>
      <c r="Q192" s="135" t="str">
        <f t="shared" si="28"/>
        <v/>
      </c>
      <c r="R192" s="135" t="str">
        <f t="shared" si="28"/>
        <v/>
      </c>
      <c r="S192" s="135" t="str">
        <f t="shared" si="28"/>
        <v/>
      </c>
      <c r="T192" s="135" t="str">
        <f t="shared" si="28"/>
        <v/>
      </c>
      <c r="U192" s="135" t="str">
        <f t="shared" si="28"/>
        <v/>
      </c>
    </row>
    <row r="193" spans="1:21" ht="15" hidden="1" customHeight="1" x14ac:dyDescent="0.2">
      <c r="A193" s="163"/>
      <c r="B193" s="154"/>
      <c r="C193" s="155"/>
      <c r="D193" s="155"/>
      <c r="E193" s="131"/>
      <c r="F193" s="146" t="str">
        <f>IF(A193="","",IFERROR(INDEX(Table_Complete_CGNC_PCG!$E:$E,MATCH(L193,Table_Complete_CGNC_PCG!$I:$I,0)),"? Non mappe"))</f>
        <v/>
      </c>
      <c r="G193" s="147" t="str">
        <f>IF(A193="","",IFERROR(INDEX(Table_Complete_CGNC_PCG!$F:$F,MATCH(L193,Table_Complete_CGNC_PCG!$I:$I,0)),"Non trouve — ajouter dans la table"))</f>
        <v/>
      </c>
      <c r="H193" s="148" t="str">
        <f t="shared" si="26"/>
        <v/>
      </c>
      <c r="I193" s="148" t="str">
        <f t="shared" si="27"/>
        <v/>
      </c>
      <c r="J193" s="131"/>
      <c r="K193" s="133" t="str">
        <f>IF(A193="","",IFERROR(IF(F193="? Non mappe","Compte non trouve - mapper manuellement",IF(AND(ISNUMBER(SEARCH("516",L193)),D193&gt;0),"CAISSE CREDITRICE - anomalie a corriger",IF(IFERROR(INDEX(Table_Complete_CGNC_PCG!$D:$D,MATCH(L193,Table_Complete_CGNC_PCG!$I:$I,0)),"")="?","Retraitement requis - voir table","OK"))),"Erreur"))</f>
        <v/>
      </c>
      <c r="L193" s="141" t="str">
        <f t="shared" si="29"/>
        <v>0</v>
      </c>
      <c r="M193" t="str">
        <f t="shared" si="30"/>
        <v/>
      </c>
      <c r="N193" s="135" t="str">
        <f t="shared" si="28"/>
        <v/>
      </c>
      <c r="O193" s="135" t="str">
        <f t="shared" si="28"/>
        <v/>
      </c>
      <c r="P193" s="135" t="str">
        <f t="shared" si="28"/>
        <v/>
      </c>
      <c r="Q193" s="135" t="str">
        <f t="shared" si="28"/>
        <v/>
      </c>
      <c r="R193" s="135" t="str">
        <f t="shared" si="28"/>
        <v/>
      </c>
      <c r="S193" s="135" t="str">
        <f t="shared" si="28"/>
        <v/>
      </c>
      <c r="T193" s="135" t="str">
        <f t="shared" si="28"/>
        <v/>
      </c>
      <c r="U193" s="135" t="str">
        <f t="shared" si="28"/>
        <v/>
      </c>
    </row>
    <row r="194" spans="1:21" ht="15" hidden="1" customHeight="1" x14ac:dyDescent="0.2">
      <c r="A194" s="165"/>
      <c r="B194" s="156"/>
      <c r="C194" s="157"/>
      <c r="D194" s="157"/>
      <c r="E194" s="131"/>
      <c r="F194" s="153" t="str">
        <f>IF(A194="","",IFERROR(INDEX(Table_Complete_CGNC_PCG!$E:$E,MATCH(L194,Table_Complete_CGNC_PCG!$I:$I,0)),"? Non mappe"))</f>
        <v/>
      </c>
      <c r="G194" s="149" t="str">
        <f>IF(A194="","",IFERROR(INDEX(Table_Complete_CGNC_PCG!$F:$F,MATCH(L194,Table_Complete_CGNC_PCG!$I:$I,0)),"Non trouve — ajouter dans la table"))</f>
        <v/>
      </c>
      <c r="H194" s="150" t="str">
        <f t="shared" si="26"/>
        <v/>
      </c>
      <c r="I194" s="150" t="str">
        <f t="shared" si="27"/>
        <v/>
      </c>
      <c r="J194" s="131"/>
      <c r="K194" s="134" t="str">
        <f>IF(A194="","",IFERROR(IF(F194="? Non mappe","Compte non trouve - mapper manuellement",IF(AND(ISNUMBER(SEARCH("516",L194)),D194&gt;0),"CAISSE CREDITRICE - anomalie a corriger",IF(IFERROR(INDEX(Table_Complete_CGNC_PCG!$D:$D,MATCH(L194,Table_Complete_CGNC_PCG!$I:$I,0)),"")="?","Retraitement requis - voir table","OK"))),"Erreur"))</f>
        <v/>
      </c>
      <c r="L194" s="141" t="str">
        <f t="shared" si="29"/>
        <v>0</v>
      </c>
      <c r="M194" t="str">
        <f t="shared" si="30"/>
        <v/>
      </c>
      <c r="N194" s="135" t="str">
        <f t="shared" si="28"/>
        <v/>
      </c>
      <c r="O194" s="135" t="str">
        <f t="shared" si="28"/>
        <v/>
      </c>
      <c r="P194" s="135" t="str">
        <f t="shared" si="28"/>
        <v/>
      </c>
      <c r="Q194" s="135" t="str">
        <f t="shared" si="28"/>
        <v/>
      </c>
      <c r="R194" s="135" t="str">
        <f t="shared" si="28"/>
        <v/>
      </c>
      <c r="S194" s="135" t="str">
        <f t="shared" si="28"/>
        <v/>
      </c>
      <c r="T194" s="135" t="str">
        <f t="shared" si="28"/>
        <v/>
      </c>
      <c r="U194" s="135" t="str">
        <f t="shared" si="28"/>
        <v/>
      </c>
    </row>
    <row r="195" spans="1:21" ht="15" hidden="1" customHeight="1" x14ac:dyDescent="0.2">
      <c r="A195" s="163"/>
      <c r="B195" s="154"/>
      <c r="C195" s="155"/>
      <c r="D195" s="155"/>
      <c r="E195" s="131"/>
      <c r="F195" s="146" t="str">
        <f>IF(A195="","",IFERROR(INDEX(Table_Complete_CGNC_PCG!$E:$E,MATCH(L195,Table_Complete_CGNC_PCG!$I:$I,0)),"? Non mappe"))</f>
        <v/>
      </c>
      <c r="G195" s="147" t="str">
        <f>IF(A195="","",IFERROR(INDEX(Table_Complete_CGNC_PCG!$F:$F,MATCH(L195,Table_Complete_CGNC_PCG!$I:$I,0)),"Non trouve — ajouter dans la table"))</f>
        <v/>
      </c>
      <c r="H195" s="148" t="str">
        <f t="shared" si="26"/>
        <v/>
      </c>
      <c r="I195" s="148" t="str">
        <f t="shared" si="27"/>
        <v/>
      </c>
      <c r="J195" s="131"/>
      <c r="K195" s="133" t="str">
        <f>IF(A195="","",IFERROR(IF(F195="? Non mappe","Compte non trouve - mapper manuellement",IF(AND(ISNUMBER(SEARCH("516",L195)),D195&gt;0),"CAISSE CREDITRICE - anomalie a corriger",IF(IFERROR(INDEX(Table_Complete_CGNC_PCG!$D:$D,MATCH(L195,Table_Complete_CGNC_PCG!$I:$I,0)),"")="?","Retraitement requis - voir table","OK"))),"Erreur"))</f>
        <v/>
      </c>
      <c r="L195" s="141" t="str">
        <f t="shared" si="29"/>
        <v>0</v>
      </c>
      <c r="M195" t="str">
        <f t="shared" si="30"/>
        <v/>
      </c>
      <c r="N195" s="135" t="str">
        <f t="shared" si="28"/>
        <v/>
      </c>
      <c r="O195" s="135" t="str">
        <f t="shared" si="28"/>
        <v/>
      </c>
      <c r="P195" s="135" t="str">
        <f t="shared" si="28"/>
        <v/>
      </c>
      <c r="Q195" s="135" t="str">
        <f t="shared" si="28"/>
        <v/>
      </c>
      <c r="R195" s="135" t="str">
        <f t="shared" si="28"/>
        <v/>
      </c>
      <c r="S195" s="135" t="str">
        <f t="shared" si="28"/>
        <v/>
      </c>
      <c r="T195" s="135" t="str">
        <f t="shared" si="28"/>
        <v/>
      </c>
      <c r="U195" s="135" t="str">
        <f t="shared" si="28"/>
        <v/>
      </c>
    </row>
    <row r="196" spans="1:21" ht="15" hidden="1" customHeight="1" x14ac:dyDescent="0.2">
      <c r="A196" s="165"/>
      <c r="B196" s="156"/>
      <c r="C196" s="157"/>
      <c r="D196" s="157"/>
      <c r="E196" s="131"/>
      <c r="F196" s="153" t="str">
        <f>IF(A196="","",IFERROR(INDEX(Table_Complete_CGNC_PCG!$E:$E,MATCH(L196,Table_Complete_CGNC_PCG!$I:$I,0)),"? Non mappe"))</f>
        <v/>
      </c>
      <c r="G196" s="149" t="str">
        <f>IF(A196="","",IFERROR(INDEX(Table_Complete_CGNC_PCG!$F:$F,MATCH(L196,Table_Complete_CGNC_PCG!$I:$I,0)),"Non trouve — ajouter dans la table"))</f>
        <v/>
      </c>
      <c r="H196" s="150" t="str">
        <f t="shared" si="26"/>
        <v/>
      </c>
      <c r="I196" s="150" t="str">
        <f t="shared" si="27"/>
        <v/>
      </c>
      <c r="J196" s="131"/>
      <c r="K196" s="134" t="str">
        <f>IF(A196="","",IFERROR(IF(F196="? Non mappe","Compte non trouve - mapper manuellement",IF(AND(ISNUMBER(SEARCH("516",L196)),D196&gt;0),"CAISSE CREDITRICE - anomalie a corriger",IF(IFERROR(INDEX(Table_Complete_CGNC_PCG!$D:$D,MATCH(L196,Table_Complete_CGNC_PCG!$I:$I,0)),"")="?","Retraitement requis - voir table","OK"))),"Erreur"))</f>
        <v/>
      </c>
      <c r="L196" s="141" t="str">
        <f t="shared" si="29"/>
        <v>0</v>
      </c>
      <c r="M196" t="str">
        <f t="shared" si="30"/>
        <v/>
      </c>
      <c r="N196" s="135" t="str">
        <f t="shared" ref="N196:U211" si="31">IF(M196="","",IF(AND(LEN(M196)&gt;3,RIGHT(M196,1)="0"),LEFT(M196,LEN(M196)-1),M196))</f>
        <v/>
      </c>
      <c r="O196" s="135" t="str">
        <f t="shared" si="31"/>
        <v/>
      </c>
      <c r="P196" s="135" t="str">
        <f t="shared" si="31"/>
        <v/>
      </c>
      <c r="Q196" s="135" t="str">
        <f t="shared" si="31"/>
        <v/>
      </c>
      <c r="R196" s="135" t="str">
        <f t="shared" si="31"/>
        <v/>
      </c>
      <c r="S196" s="135" t="str">
        <f t="shared" si="31"/>
        <v/>
      </c>
      <c r="T196" s="135" t="str">
        <f t="shared" si="31"/>
        <v/>
      </c>
      <c r="U196" s="135" t="str">
        <f t="shared" si="31"/>
        <v/>
      </c>
    </row>
    <row r="197" spans="1:21" ht="15" hidden="1" customHeight="1" x14ac:dyDescent="0.2">
      <c r="A197" s="163"/>
      <c r="B197" s="154"/>
      <c r="C197" s="155"/>
      <c r="D197" s="155"/>
      <c r="E197" s="131"/>
      <c r="F197" s="146" t="str">
        <f>IF(A197="","",IFERROR(INDEX(Table_Complete_CGNC_PCG!$E:$E,MATCH(L197,Table_Complete_CGNC_PCG!$I:$I,0)),"? Non mappe"))</f>
        <v/>
      </c>
      <c r="G197" s="147" t="str">
        <f>IF(A197="","",IFERROR(INDEX(Table_Complete_CGNC_PCG!$F:$F,MATCH(L197,Table_Complete_CGNC_PCG!$I:$I,0)),"Non trouve — ajouter dans la table"))</f>
        <v/>
      </c>
      <c r="H197" s="148" t="str">
        <f t="shared" si="26"/>
        <v/>
      </c>
      <c r="I197" s="148" t="str">
        <f t="shared" si="27"/>
        <v/>
      </c>
      <c r="J197" s="131"/>
      <c r="K197" s="133" t="str">
        <f>IF(A197="","",IFERROR(IF(F197="? Non mappe","Compte non trouve - mapper manuellement",IF(AND(ISNUMBER(SEARCH("516",L197)),D197&gt;0),"CAISSE CREDITRICE - anomalie a corriger",IF(IFERROR(INDEX(Table_Complete_CGNC_PCG!$D:$D,MATCH(L197,Table_Complete_CGNC_PCG!$I:$I,0)),"")="?","Retraitement requis - voir table","OK"))),"Erreur"))</f>
        <v/>
      </c>
      <c r="L197" s="141" t="str">
        <f t="shared" si="29"/>
        <v>0</v>
      </c>
      <c r="M197" t="str">
        <f t="shared" si="30"/>
        <v/>
      </c>
      <c r="N197" s="135" t="str">
        <f t="shared" si="31"/>
        <v/>
      </c>
      <c r="O197" s="135" t="str">
        <f t="shared" si="31"/>
        <v/>
      </c>
      <c r="P197" s="135" t="str">
        <f t="shared" si="31"/>
        <v/>
      </c>
      <c r="Q197" s="135" t="str">
        <f t="shared" si="31"/>
        <v/>
      </c>
      <c r="R197" s="135" t="str">
        <f t="shared" si="31"/>
        <v/>
      </c>
      <c r="S197" s="135" t="str">
        <f t="shared" si="31"/>
        <v/>
      </c>
      <c r="T197" s="135" t="str">
        <f t="shared" si="31"/>
        <v/>
      </c>
      <c r="U197" s="135" t="str">
        <f t="shared" si="31"/>
        <v/>
      </c>
    </row>
    <row r="198" spans="1:21" ht="15" hidden="1" customHeight="1" x14ac:dyDescent="0.2">
      <c r="A198" s="165"/>
      <c r="B198" s="156"/>
      <c r="C198" s="157"/>
      <c r="D198" s="157"/>
      <c r="E198" s="131"/>
      <c r="F198" s="153" t="str">
        <f>IF(A198="","",IFERROR(INDEX(Table_Complete_CGNC_PCG!$E:$E,MATCH(L198,Table_Complete_CGNC_PCG!$I:$I,0)),"? Non mappe"))</f>
        <v/>
      </c>
      <c r="G198" s="149" t="str">
        <f>IF(A198="","",IFERROR(INDEX(Table_Complete_CGNC_PCG!$F:$F,MATCH(L198,Table_Complete_CGNC_PCG!$I:$I,0)),"Non trouve — ajouter dans la table"))</f>
        <v/>
      </c>
      <c r="H198" s="150" t="str">
        <f t="shared" si="26"/>
        <v/>
      </c>
      <c r="I198" s="150" t="str">
        <f t="shared" si="27"/>
        <v/>
      </c>
      <c r="J198" s="131"/>
      <c r="K198" s="134" t="str">
        <f>IF(A198="","",IFERROR(IF(F198="? Non mappe","Compte non trouve - mapper manuellement",IF(AND(ISNUMBER(SEARCH("516",L198)),D198&gt;0),"CAISSE CREDITRICE - anomalie a corriger",IF(IFERROR(INDEX(Table_Complete_CGNC_PCG!$D:$D,MATCH(L198,Table_Complete_CGNC_PCG!$I:$I,0)),"")="?","Retraitement requis - voir table","OK"))),"Erreur"))</f>
        <v/>
      </c>
      <c r="L198" s="141" t="str">
        <f t="shared" si="29"/>
        <v>0</v>
      </c>
      <c r="M198" t="str">
        <f t="shared" si="30"/>
        <v/>
      </c>
      <c r="N198" s="135" t="str">
        <f t="shared" si="31"/>
        <v/>
      </c>
      <c r="O198" s="135" t="str">
        <f t="shared" si="31"/>
        <v/>
      </c>
      <c r="P198" s="135" t="str">
        <f t="shared" si="31"/>
        <v/>
      </c>
      <c r="Q198" s="135" t="str">
        <f t="shared" si="31"/>
        <v/>
      </c>
      <c r="R198" s="135" t="str">
        <f t="shared" si="31"/>
        <v/>
      </c>
      <c r="S198" s="135" t="str">
        <f t="shared" si="31"/>
        <v/>
      </c>
      <c r="T198" s="135" t="str">
        <f t="shared" si="31"/>
        <v/>
      </c>
      <c r="U198" s="135" t="str">
        <f t="shared" si="31"/>
        <v/>
      </c>
    </row>
    <row r="199" spans="1:21" ht="15" hidden="1" customHeight="1" x14ac:dyDescent="0.2">
      <c r="A199" s="163"/>
      <c r="B199" s="154"/>
      <c r="C199" s="155"/>
      <c r="D199" s="155"/>
      <c r="E199" s="131"/>
      <c r="F199" s="146" t="str">
        <f>IF(A199="","",IFERROR(INDEX(Table_Complete_CGNC_PCG!$E:$E,MATCH(L199,Table_Complete_CGNC_PCG!$I:$I,0)),"? Non mappe"))</f>
        <v/>
      </c>
      <c r="G199" s="147" t="str">
        <f>IF(A199="","",IFERROR(INDEX(Table_Complete_CGNC_PCG!$F:$F,MATCH(L199,Table_Complete_CGNC_PCG!$I:$I,0)),"Non trouve — ajouter dans la table"))</f>
        <v/>
      </c>
      <c r="H199" s="148" t="str">
        <f t="shared" si="26"/>
        <v/>
      </c>
      <c r="I199" s="148" t="str">
        <f t="shared" si="27"/>
        <v/>
      </c>
      <c r="J199" s="131"/>
      <c r="K199" s="133" t="str">
        <f>IF(A199="","",IFERROR(IF(F199="? Non mappe","Compte non trouve - mapper manuellement",IF(AND(ISNUMBER(SEARCH("516",L199)),D199&gt;0),"CAISSE CREDITRICE - anomalie a corriger",IF(IFERROR(INDEX(Table_Complete_CGNC_PCG!$D:$D,MATCH(L199,Table_Complete_CGNC_PCG!$I:$I,0)),"")="?","Retraitement requis - voir table","OK"))),"Erreur"))</f>
        <v/>
      </c>
      <c r="L199" s="141" t="str">
        <f t="shared" si="29"/>
        <v>0</v>
      </c>
      <c r="M199" t="str">
        <f t="shared" si="30"/>
        <v/>
      </c>
      <c r="N199" s="135" t="str">
        <f t="shared" si="31"/>
        <v/>
      </c>
      <c r="O199" s="135" t="str">
        <f t="shared" si="31"/>
        <v/>
      </c>
      <c r="P199" s="135" t="str">
        <f t="shared" si="31"/>
        <v/>
      </c>
      <c r="Q199" s="135" t="str">
        <f t="shared" si="31"/>
        <v/>
      </c>
      <c r="R199" s="135" t="str">
        <f t="shared" si="31"/>
        <v/>
      </c>
      <c r="S199" s="135" t="str">
        <f t="shared" si="31"/>
        <v/>
      </c>
      <c r="T199" s="135" t="str">
        <f t="shared" si="31"/>
        <v/>
      </c>
      <c r="U199" s="135" t="str">
        <f t="shared" si="31"/>
        <v/>
      </c>
    </row>
    <row r="200" spans="1:21" ht="15" hidden="1" customHeight="1" x14ac:dyDescent="0.2">
      <c r="A200" s="165"/>
      <c r="B200" s="156"/>
      <c r="C200" s="157"/>
      <c r="D200" s="157"/>
      <c r="E200" s="131"/>
      <c r="F200" s="153" t="str">
        <f>IF(A200="","",IFERROR(INDEX(Table_Complete_CGNC_PCG!$E:$E,MATCH(L200,Table_Complete_CGNC_PCG!$I:$I,0)),"? Non mappe"))</f>
        <v/>
      </c>
      <c r="G200" s="149" t="str">
        <f>IF(A200="","",IFERROR(INDEX(Table_Complete_CGNC_PCG!$F:$F,MATCH(L200,Table_Complete_CGNC_PCG!$I:$I,0)),"Non trouve — ajouter dans la table"))</f>
        <v/>
      </c>
      <c r="H200" s="150" t="str">
        <f t="shared" si="26"/>
        <v/>
      </c>
      <c r="I200" s="150" t="str">
        <f t="shared" si="27"/>
        <v/>
      </c>
      <c r="J200" s="131"/>
      <c r="K200" s="134" t="str">
        <f>IF(A200="","",IFERROR(IF(F200="? Non mappe","Compte non trouve - mapper manuellement",IF(AND(ISNUMBER(SEARCH("516",L200)),D200&gt;0),"CAISSE CREDITRICE - anomalie a corriger",IF(IFERROR(INDEX(Table_Complete_CGNC_PCG!$D:$D,MATCH(L200,Table_Complete_CGNC_PCG!$I:$I,0)),"")="?","Retraitement requis - voir table","OK"))),"Erreur"))</f>
        <v/>
      </c>
      <c r="L200" s="141" t="str">
        <f t="shared" si="29"/>
        <v>0</v>
      </c>
      <c r="M200" t="str">
        <f t="shared" si="30"/>
        <v/>
      </c>
      <c r="N200" s="135" t="str">
        <f t="shared" si="31"/>
        <v/>
      </c>
      <c r="O200" s="135" t="str">
        <f t="shared" si="31"/>
        <v/>
      </c>
      <c r="P200" s="135" t="str">
        <f t="shared" si="31"/>
        <v/>
      </c>
      <c r="Q200" s="135" t="str">
        <f t="shared" si="31"/>
        <v/>
      </c>
      <c r="R200" s="135" t="str">
        <f t="shared" si="31"/>
        <v/>
      </c>
      <c r="S200" s="135" t="str">
        <f t="shared" si="31"/>
        <v/>
      </c>
      <c r="T200" s="135" t="str">
        <f t="shared" si="31"/>
        <v/>
      </c>
      <c r="U200" s="135" t="str">
        <f t="shared" si="31"/>
        <v/>
      </c>
    </row>
    <row r="201" spans="1:21" ht="15" hidden="1" customHeight="1" x14ac:dyDescent="0.2">
      <c r="A201" s="163"/>
      <c r="B201" s="154"/>
      <c r="C201" s="155"/>
      <c r="D201" s="155"/>
      <c r="E201" s="131"/>
      <c r="F201" s="146" t="str">
        <f>IF(A201="","",IFERROR(INDEX(Table_Complete_CGNC_PCG!$E:$E,MATCH(L201,Table_Complete_CGNC_PCG!$I:$I,0)),"? Non mappe"))</f>
        <v/>
      </c>
      <c r="G201" s="147" t="str">
        <f>IF(A201="","",IFERROR(INDEX(Table_Complete_CGNC_PCG!$F:$F,MATCH(L201,Table_Complete_CGNC_PCG!$I:$I,0)),"Non trouve — ajouter dans la table"))</f>
        <v/>
      </c>
      <c r="H201" s="148" t="str">
        <f t="shared" si="26"/>
        <v/>
      </c>
      <c r="I201" s="148" t="str">
        <f t="shared" si="27"/>
        <v/>
      </c>
      <c r="J201" s="131"/>
      <c r="K201" s="133" t="str">
        <f>IF(A201="","",IFERROR(IF(F201="? Non mappe","Compte non trouve - mapper manuellement",IF(AND(ISNUMBER(SEARCH("516",L201)),D201&gt;0),"CAISSE CREDITRICE - anomalie a corriger",IF(IFERROR(INDEX(Table_Complete_CGNC_PCG!$D:$D,MATCH(L201,Table_Complete_CGNC_PCG!$I:$I,0)),"")="?","Retraitement requis - voir table","OK"))),"Erreur"))</f>
        <v/>
      </c>
      <c r="L201" s="141" t="str">
        <f t="shared" si="29"/>
        <v>0</v>
      </c>
      <c r="M201" t="str">
        <f t="shared" si="30"/>
        <v/>
      </c>
      <c r="N201" s="135" t="str">
        <f t="shared" si="31"/>
        <v/>
      </c>
      <c r="O201" s="135" t="str">
        <f t="shared" si="31"/>
        <v/>
      </c>
      <c r="P201" s="135" t="str">
        <f t="shared" si="31"/>
        <v/>
      </c>
      <c r="Q201" s="135" t="str">
        <f t="shared" si="31"/>
        <v/>
      </c>
      <c r="R201" s="135" t="str">
        <f t="shared" si="31"/>
        <v/>
      </c>
      <c r="S201" s="135" t="str">
        <f t="shared" si="31"/>
        <v/>
      </c>
      <c r="T201" s="135" t="str">
        <f t="shared" si="31"/>
        <v/>
      </c>
      <c r="U201" s="135" t="str">
        <f t="shared" si="31"/>
        <v/>
      </c>
    </row>
    <row r="202" spans="1:21" ht="15" hidden="1" customHeight="1" x14ac:dyDescent="0.2">
      <c r="A202" s="165"/>
      <c r="B202" s="156"/>
      <c r="C202" s="157"/>
      <c r="D202" s="157"/>
      <c r="E202" s="131"/>
      <c r="F202" s="153" t="str">
        <f>IF(A202="","",IFERROR(INDEX(Table_Complete_CGNC_PCG!$E:$E,MATCH(L202,Table_Complete_CGNC_PCG!$I:$I,0)),"? Non mappe"))</f>
        <v/>
      </c>
      <c r="G202" s="149" t="str">
        <f>IF(A202="","",IFERROR(INDEX(Table_Complete_CGNC_PCG!$F:$F,MATCH(L202,Table_Complete_CGNC_PCG!$I:$I,0)),"Non trouve — ajouter dans la table"))</f>
        <v/>
      </c>
      <c r="H202" s="150" t="str">
        <f t="shared" si="26"/>
        <v/>
      </c>
      <c r="I202" s="150" t="str">
        <f t="shared" si="27"/>
        <v/>
      </c>
      <c r="J202" s="131"/>
      <c r="K202" s="134" t="str">
        <f>IF(A202="","",IFERROR(IF(F202="? Non mappe","Compte non trouve - mapper manuellement",IF(AND(ISNUMBER(SEARCH("516",L202)),D202&gt;0),"CAISSE CREDITRICE - anomalie a corriger",IF(IFERROR(INDEX(Table_Complete_CGNC_PCG!$D:$D,MATCH(L202,Table_Complete_CGNC_PCG!$I:$I,0)),"")="?","Retraitement requis - voir table","OK"))),"Erreur"))</f>
        <v/>
      </c>
      <c r="L202" s="141" t="str">
        <f t="shared" si="29"/>
        <v>0</v>
      </c>
      <c r="M202" t="str">
        <f t="shared" si="30"/>
        <v/>
      </c>
      <c r="N202" s="135" t="str">
        <f t="shared" si="31"/>
        <v/>
      </c>
      <c r="O202" s="135" t="str">
        <f t="shared" si="31"/>
        <v/>
      </c>
      <c r="P202" s="135" t="str">
        <f t="shared" si="31"/>
        <v/>
      </c>
      <c r="Q202" s="135" t="str">
        <f t="shared" si="31"/>
        <v/>
      </c>
      <c r="R202" s="135" t="str">
        <f t="shared" si="31"/>
        <v/>
      </c>
      <c r="S202" s="135" t="str">
        <f t="shared" si="31"/>
        <v/>
      </c>
      <c r="T202" s="135" t="str">
        <f t="shared" si="31"/>
        <v/>
      </c>
      <c r="U202" s="135" t="str">
        <f t="shared" si="31"/>
        <v/>
      </c>
    </row>
    <row r="203" spans="1:21" ht="15" hidden="1" customHeight="1" x14ac:dyDescent="0.2">
      <c r="A203" s="163"/>
      <c r="B203" s="154"/>
      <c r="C203" s="155"/>
      <c r="D203" s="155"/>
      <c r="E203" s="131"/>
      <c r="F203" s="146" t="str">
        <f>IF(A203="","",IFERROR(INDEX(Table_Complete_CGNC_PCG!$E:$E,MATCH(L203,Table_Complete_CGNC_PCG!$I:$I,0)),"? Non mappe"))</f>
        <v/>
      </c>
      <c r="G203" s="147" t="str">
        <f>IF(A203="","",IFERROR(INDEX(Table_Complete_CGNC_PCG!$F:$F,MATCH(L203,Table_Complete_CGNC_PCG!$I:$I,0)),"Non trouve — ajouter dans la table"))</f>
        <v/>
      </c>
      <c r="H203" s="148" t="str">
        <f t="shared" ref="H203:H212" si="32">IF(OR(A203="",C203="",C203=0),"",ROUND(C203/$C$2,2))</f>
        <v/>
      </c>
      <c r="I203" s="148" t="str">
        <f t="shared" si="27"/>
        <v/>
      </c>
      <c r="J203" s="131"/>
      <c r="K203" s="133" t="str">
        <f>IF(A203="","",IFERROR(IF(F203="? Non mappe","Compte non trouve - mapper manuellement",IF(AND(ISNUMBER(SEARCH("516",L203)),D203&gt;0),"CAISSE CREDITRICE - anomalie a corriger",IF(IFERROR(INDEX(Table_Complete_CGNC_PCG!$D:$D,MATCH(L203,Table_Complete_CGNC_PCG!$I:$I,0)),"")="?","Retraitement requis - voir table","OK"))),"Erreur"))</f>
        <v/>
      </c>
      <c r="L203" s="141" t="str">
        <f t="shared" si="29"/>
        <v>0</v>
      </c>
      <c r="M203" t="str">
        <f t="shared" si="30"/>
        <v/>
      </c>
      <c r="N203" s="135" t="str">
        <f t="shared" si="31"/>
        <v/>
      </c>
      <c r="O203" s="135" t="str">
        <f t="shared" si="31"/>
        <v/>
      </c>
      <c r="P203" s="135" t="str">
        <f t="shared" si="31"/>
        <v/>
      </c>
      <c r="Q203" s="135" t="str">
        <f t="shared" si="31"/>
        <v/>
      </c>
      <c r="R203" s="135" t="str">
        <f t="shared" si="31"/>
        <v/>
      </c>
      <c r="S203" s="135" t="str">
        <f t="shared" si="31"/>
        <v/>
      </c>
      <c r="T203" s="135" t="str">
        <f t="shared" si="31"/>
        <v/>
      </c>
      <c r="U203" s="135" t="str">
        <f t="shared" si="31"/>
        <v/>
      </c>
    </row>
    <row r="204" spans="1:21" ht="15" hidden="1" customHeight="1" x14ac:dyDescent="0.2">
      <c r="A204" s="165"/>
      <c r="B204" s="156"/>
      <c r="C204" s="157"/>
      <c r="D204" s="157"/>
      <c r="E204" s="131"/>
      <c r="F204" s="153" t="str">
        <f>IF(A204="","",IFERROR(INDEX(Table_Complete_CGNC_PCG!$E:$E,MATCH(L204,Table_Complete_CGNC_PCG!$I:$I,0)),"? Non mappe"))</f>
        <v/>
      </c>
      <c r="G204" s="149" t="str">
        <f>IF(A204="","",IFERROR(INDEX(Table_Complete_CGNC_PCG!$F:$F,MATCH(L204,Table_Complete_CGNC_PCG!$I:$I,0)),"Non trouve — ajouter dans la table"))</f>
        <v/>
      </c>
      <c r="H204" s="150" t="str">
        <f t="shared" si="32"/>
        <v/>
      </c>
      <c r="I204" s="150" t="str">
        <f t="shared" si="27"/>
        <v/>
      </c>
      <c r="J204" s="131"/>
      <c r="K204" s="134" t="str">
        <f>IF(A204="","",IFERROR(IF(F204="? Non mappe","Compte non trouve - mapper manuellement",IF(AND(ISNUMBER(SEARCH("516",L204)),D204&gt;0),"CAISSE CREDITRICE - anomalie a corriger",IF(IFERROR(INDEX(Table_Complete_CGNC_PCG!$D:$D,MATCH(L204,Table_Complete_CGNC_PCG!$I:$I,0)),"")="?","Retraitement requis - voir table","OK"))),"Erreur"))</f>
        <v/>
      </c>
      <c r="L204" s="141" t="str">
        <f t="shared" si="29"/>
        <v>0</v>
      </c>
      <c r="M204" t="str">
        <f t="shared" si="30"/>
        <v/>
      </c>
      <c r="N204" s="135" t="str">
        <f t="shared" si="31"/>
        <v/>
      </c>
      <c r="O204" s="135" t="str">
        <f t="shared" si="31"/>
        <v/>
      </c>
      <c r="P204" s="135" t="str">
        <f t="shared" si="31"/>
        <v/>
      </c>
      <c r="Q204" s="135" t="str">
        <f t="shared" si="31"/>
        <v/>
      </c>
      <c r="R204" s="135" t="str">
        <f t="shared" si="31"/>
        <v/>
      </c>
      <c r="S204" s="135" t="str">
        <f t="shared" si="31"/>
        <v/>
      </c>
      <c r="T204" s="135" t="str">
        <f t="shared" si="31"/>
        <v/>
      </c>
      <c r="U204" s="135" t="str">
        <f t="shared" si="31"/>
        <v/>
      </c>
    </row>
    <row r="205" spans="1:21" ht="15" hidden="1" customHeight="1" x14ac:dyDescent="0.2">
      <c r="A205" s="163"/>
      <c r="B205" s="154"/>
      <c r="C205" s="155"/>
      <c r="D205" s="155"/>
      <c r="E205" s="131"/>
      <c r="F205" s="146" t="str">
        <f>IF(A205="","",IFERROR(INDEX(Table_Complete_CGNC_PCG!$E:$E,MATCH(L205,Table_Complete_CGNC_PCG!$I:$I,0)),"? Non mappe"))</f>
        <v/>
      </c>
      <c r="G205" s="147" t="str">
        <f>IF(A205="","",IFERROR(INDEX(Table_Complete_CGNC_PCG!$F:$F,MATCH(L205,Table_Complete_CGNC_PCG!$I:$I,0)),"Non trouve — ajouter dans la table"))</f>
        <v/>
      </c>
      <c r="H205" s="148" t="str">
        <f t="shared" si="32"/>
        <v/>
      </c>
      <c r="I205" s="148" t="str">
        <f t="shared" si="27"/>
        <v/>
      </c>
      <c r="J205" s="131"/>
      <c r="K205" s="133" t="str">
        <f>IF(A205="","",IFERROR(IF(F205="? Non mappe","Compte non trouve - mapper manuellement",IF(AND(ISNUMBER(SEARCH("516",L205)),D205&gt;0),"CAISSE CREDITRICE - anomalie a corriger",IF(IFERROR(INDEX(Table_Complete_CGNC_PCG!$D:$D,MATCH(L205,Table_Complete_CGNC_PCG!$I:$I,0)),"")="?","Retraitement requis - voir table","OK"))),"Erreur"))</f>
        <v/>
      </c>
      <c r="L205" s="141" t="str">
        <f t="shared" si="29"/>
        <v>0</v>
      </c>
      <c r="M205" t="str">
        <f t="shared" si="30"/>
        <v/>
      </c>
      <c r="N205" s="135" t="str">
        <f t="shared" si="31"/>
        <v/>
      </c>
      <c r="O205" s="135" t="str">
        <f t="shared" si="31"/>
        <v/>
      </c>
      <c r="P205" s="135" t="str">
        <f t="shared" si="31"/>
        <v/>
      </c>
      <c r="Q205" s="135" t="str">
        <f t="shared" si="31"/>
        <v/>
      </c>
      <c r="R205" s="135" t="str">
        <f t="shared" si="31"/>
        <v/>
      </c>
      <c r="S205" s="135" t="str">
        <f t="shared" si="31"/>
        <v/>
      </c>
      <c r="T205" s="135" t="str">
        <f t="shared" si="31"/>
        <v/>
      </c>
      <c r="U205" s="135" t="str">
        <f t="shared" si="31"/>
        <v/>
      </c>
    </row>
    <row r="206" spans="1:21" ht="15" hidden="1" customHeight="1" x14ac:dyDescent="0.2">
      <c r="A206" s="165"/>
      <c r="B206" s="156"/>
      <c r="C206" s="157"/>
      <c r="D206" s="157"/>
      <c r="E206" s="131"/>
      <c r="F206" s="153" t="str">
        <f>IF(A206="","",IFERROR(INDEX(Table_Complete_CGNC_PCG!$E:$E,MATCH(L206,Table_Complete_CGNC_PCG!$I:$I,0)),"? Non mappe"))</f>
        <v/>
      </c>
      <c r="G206" s="149" t="str">
        <f>IF(A206="","",IFERROR(INDEX(Table_Complete_CGNC_PCG!$F:$F,MATCH(L206,Table_Complete_CGNC_PCG!$I:$I,0)),"Non trouve — ajouter dans la table"))</f>
        <v/>
      </c>
      <c r="H206" s="150" t="str">
        <f t="shared" si="32"/>
        <v/>
      </c>
      <c r="I206" s="150" t="str">
        <f t="shared" si="27"/>
        <v/>
      </c>
      <c r="J206" s="131"/>
      <c r="K206" s="134" t="str">
        <f>IF(A206="","",IFERROR(IF(F206="? Non mappe","Compte non trouve - mapper manuellement",IF(AND(ISNUMBER(SEARCH("516",L206)),D206&gt;0),"CAISSE CREDITRICE - anomalie a corriger",IF(IFERROR(INDEX(Table_Complete_CGNC_PCG!$D:$D,MATCH(L206,Table_Complete_CGNC_PCG!$I:$I,0)),"")="?","Retraitement requis - voir table","OK"))),"Erreur"))</f>
        <v/>
      </c>
      <c r="L206" s="141" t="str">
        <f t="shared" si="29"/>
        <v>0</v>
      </c>
      <c r="M206" t="str">
        <f t="shared" si="30"/>
        <v/>
      </c>
      <c r="N206" s="135" t="str">
        <f t="shared" si="31"/>
        <v/>
      </c>
      <c r="O206" s="135" t="str">
        <f t="shared" si="31"/>
        <v/>
      </c>
      <c r="P206" s="135" t="str">
        <f t="shared" si="31"/>
        <v/>
      </c>
      <c r="Q206" s="135" t="str">
        <f t="shared" si="31"/>
        <v/>
      </c>
      <c r="R206" s="135" t="str">
        <f t="shared" si="31"/>
        <v/>
      </c>
      <c r="S206" s="135" t="str">
        <f t="shared" si="31"/>
        <v/>
      </c>
      <c r="T206" s="135" t="str">
        <f t="shared" si="31"/>
        <v/>
      </c>
      <c r="U206" s="135" t="str">
        <f t="shared" si="31"/>
        <v/>
      </c>
    </row>
    <row r="207" spans="1:21" ht="15" hidden="1" customHeight="1" x14ac:dyDescent="0.2">
      <c r="A207" s="163"/>
      <c r="B207" s="154"/>
      <c r="C207" s="155"/>
      <c r="D207" s="155"/>
      <c r="E207" s="131"/>
      <c r="F207" s="146" t="str">
        <f>IF(A207="","",IFERROR(INDEX(Table_Complete_CGNC_PCG!$E:$E,MATCH(L207,Table_Complete_CGNC_PCG!$I:$I,0)),"? Non mappe"))</f>
        <v/>
      </c>
      <c r="G207" s="147" t="str">
        <f>IF(A207="","",IFERROR(INDEX(Table_Complete_CGNC_PCG!$F:$F,MATCH(L207,Table_Complete_CGNC_PCG!$I:$I,0)),"Non trouve — ajouter dans la table"))</f>
        <v/>
      </c>
      <c r="H207" s="148" t="str">
        <f t="shared" si="32"/>
        <v/>
      </c>
      <c r="I207" s="148" t="str">
        <f t="shared" si="27"/>
        <v/>
      </c>
      <c r="J207" s="131"/>
      <c r="K207" s="133" t="str">
        <f>IF(A207="","",IFERROR(IF(F207="? Non mappe","Compte non trouve - mapper manuellement",IF(AND(ISNUMBER(SEARCH("516",L207)),D207&gt;0),"CAISSE CREDITRICE - anomalie a corriger",IF(IFERROR(INDEX(Table_Complete_CGNC_PCG!$D:$D,MATCH(L207,Table_Complete_CGNC_PCG!$I:$I,0)),"")="?","Retraitement requis - voir table","OK"))),"Erreur"))</f>
        <v/>
      </c>
      <c r="L207" s="141" t="str">
        <f t="shared" si="29"/>
        <v>0</v>
      </c>
      <c r="M207" t="str">
        <f t="shared" si="30"/>
        <v/>
      </c>
      <c r="N207" s="135" t="str">
        <f t="shared" si="31"/>
        <v/>
      </c>
      <c r="O207" s="135" t="str">
        <f t="shared" si="31"/>
        <v/>
      </c>
      <c r="P207" s="135" t="str">
        <f t="shared" si="31"/>
        <v/>
      </c>
      <c r="Q207" s="135" t="str">
        <f t="shared" si="31"/>
        <v/>
      </c>
      <c r="R207" s="135" t="str">
        <f t="shared" si="31"/>
        <v/>
      </c>
      <c r="S207" s="135" t="str">
        <f t="shared" si="31"/>
        <v/>
      </c>
      <c r="T207" s="135" t="str">
        <f t="shared" si="31"/>
        <v/>
      </c>
      <c r="U207" s="135" t="str">
        <f t="shared" si="31"/>
        <v/>
      </c>
    </row>
    <row r="208" spans="1:21" ht="15" hidden="1" customHeight="1" x14ac:dyDescent="0.2">
      <c r="A208" s="165"/>
      <c r="B208" s="156"/>
      <c r="C208" s="157"/>
      <c r="D208" s="157"/>
      <c r="E208" s="131"/>
      <c r="F208" s="153" t="str">
        <f>IF(A208="","",IFERROR(INDEX(Table_Complete_CGNC_PCG!$E:$E,MATCH(L208,Table_Complete_CGNC_PCG!$I:$I,0)),"? Non mappe"))</f>
        <v/>
      </c>
      <c r="G208" s="149" t="str">
        <f>IF(A208="","",IFERROR(INDEX(Table_Complete_CGNC_PCG!$F:$F,MATCH(L208,Table_Complete_CGNC_PCG!$I:$I,0)),"Non trouve — ajouter dans la table"))</f>
        <v/>
      </c>
      <c r="H208" s="150" t="str">
        <f t="shared" si="32"/>
        <v/>
      </c>
      <c r="I208" s="150" t="str">
        <f t="shared" si="27"/>
        <v/>
      </c>
      <c r="J208" s="131"/>
      <c r="K208" s="134" t="str">
        <f>IF(A208="","",IFERROR(IF(F208="? Non mappe","Compte non trouve - mapper manuellement",IF(AND(ISNUMBER(SEARCH("516",L208)),D208&gt;0),"CAISSE CREDITRICE - anomalie a corriger",IF(IFERROR(INDEX(Table_Complete_CGNC_PCG!$D:$D,MATCH(L208,Table_Complete_CGNC_PCG!$I:$I,0)),"")="?","Retraitement requis - voir table","OK"))),"Erreur"))</f>
        <v/>
      </c>
      <c r="L208" s="141" t="str">
        <f t="shared" si="29"/>
        <v>0</v>
      </c>
      <c r="M208" t="str">
        <f t="shared" si="30"/>
        <v/>
      </c>
      <c r="N208" s="135" t="str">
        <f t="shared" si="31"/>
        <v/>
      </c>
      <c r="O208" s="135" t="str">
        <f t="shared" si="31"/>
        <v/>
      </c>
      <c r="P208" s="135" t="str">
        <f t="shared" si="31"/>
        <v/>
      </c>
      <c r="Q208" s="135" t="str">
        <f t="shared" si="31"/>
        <v/>
      </c>
      <c r="R208" s="135" t="str">
        <f t="shared" si="31"/>
        <v/>
      </c>
      <c r="S208" s="135" t="str">
        <f t="shared" si="31"/>
        <v/>
      </c>
      <c r="T208" s="135" t="str">
        <f t="shared" si="31"/>
        <v/>
      </c>
      <c r="U208" s="135" t="str">
        <f t="shared" si="31"/>
        <v/>
      </c>
    </row>
    <row r="209" spans="1:21" ht="15" hidden="1" customHeight="1" x14ac:dyDescent="0.2">
      <c r="A209" s="163"/>
      <c r="B209" s="154"/>
      <c r="C209" s="155"/>
      <c r="D209" s="155"/>
      <c r="E209" s="131"/>
      <c r="F209" s="146" t="str">
        <f>IF(A209="","",IFERROR(INDEX(Table_Complete_CGNC_PCG!$E:$E,MATCH(L209,Table_Complete_CGNC_PCG!$I:$I,0)),"? Non mappe"))</f>
        <v/>
      </c>
      <c r="G209" s="147" t="str">
        <f>IF(A209="","",IFERROR(INDEX(Table_Complete_CGNC_PCG!$F:$F,MATCH(L209,Table_Complete_CGNC_PCG!$I:$I,0)),"Non trouve — ajouter dans la table"))</f>
        <v/>
      </c>
      <c r="H209" s="148" t="str">
        <f t="shared" si="32"/>
        <v/>
      </c>
      <c r="I209" s="148" t="str">
        <f t="shared" si="27"/>
        <v/>
      </c>
      <c r="J209" s="131"/>
      <c r="K209" s="133" t="str">
        <f>IF(A209="","",IFERROR(IF(F209="? Non mappe","Compte non trouve - mapper manuellement",IF(AND(ISNUMBER(SEARCH("516",L209)),D209&gt;0),"CAISSE CREDITRICE - anomalie a corriger",IF(IFERROR(INDEX(Table_Complete_CGNC_PCG!$D:$D,MATCH(L209,Table_Complete_CGNC_PCG!$I:$I,0)),"")="?","Retraitement requis - voir table","OK"))),"Erreur"))</f>
        <v/>
      </c>
      <c r="L209" s="141" t="str">
        <f t="shared" si="29"/>
        <v>0</v>
      </c>
      <c r="M209" t="str">
        <f t="shared" si="30"/>
        <v/>
      </c>
      <c r="N209" s="135" t="str">
        <f t="shared" si="31"/>
        <v/>
      </c>
      <c r="O209" s="135" t="str">
        <f t="shared" si="31"/>
        <v/>
      </c>
      <c r="P209" s="135" t="str">
        <f t="shared" si="31"/>
        <v/>
      </c>
      <c r="Q209" s="135" t="str">
        <f t="shared" si="31"/>
        <v/>
      </c>
      <c r="R209" s="135" t="str">
        <f t="shared" si="31"/>
        <v/>
      </c>
      <c r="S209" s="135" t="str">
        <f t="shared" si="31"/>
        <v/>
      </c>
      <c r="T209" s="135" t="str">
        <f t="shared" si="31"/>
        <v/>
      </c>
      <c r="U209" s="135" t="str">
        <f t="shared" si="31"/>
        <v/>
      </c>
    </row>
    <row r="210" spans="1:21" ht="15" hidden="1" customHeight="1" x14ac:dyDescent="0.2">
      <c r="A210" s="165"/>
      <c r="B210" s="156"/>
      <c r="C210" s="157"/>
      <c r="D210" s="157"/>
      <c r="E210" s="131"/>
      <c r="F210" s="153" t="str">
        <f>IF(A210="","",IFERROR(INDEX(Table_Complete_CGNC_PCG!$E:$E,MATCH(L210,Table_Complete_CGNC_PCG!$I:$I,0)),"? Non mappe"))</f>
        <v/>
      </c>
      <c r="G210" s="149" t="str">
        <f>IF(A210="","",IFERROR(INDEX(Table_Complete_CGNC_PCG!$F:$F,MATCH(L210,Table_Complete_CGNC_PCG!$I:$I,0)),"Non trouve — ajouter dans la table"))</f>
        <v/>
      </c>
      <c r="H210" s="150" t="str">
        <f t="shared" si="32"/>
        <v/>
      </c>
      <c r="I210" s="150" t="str">
        <f t="shared" si="27"/>
        <v/>
      </c>
      <c r="J210" s="131"/>
      <c r="K210" s="134" t="str">
        <f>IF(A210="","",IFERROR(IF(F210="? Non mappe","Compte non trouve - mapper manuellement",IF(AND(ISNUMBER(SEARCH("516",L210)),D210&gt;0),"CAISSE CREDITRICE - anomalie a corriger",IF(IFERROR(INDEX(Table_Complete_CGNC_PCG!$D:$D,MATCH(L210,Table_Complete_CGNC_PCG!$I:$I,0)),"")="?","Retraitement requis - voir table","OK"))),"Erreur"))</f>
        <v/>
      </c>
      <c r="L210" s="141" t="str">
        <f t="shared" si="29"/>
        <v>0</v>
      </c>
      <c r="M210" t="str">
        <f t="shared" si="30"/>
        <v/>
      </c>
      <c r="N210" s="135" t="str">
        <f t="shared" si="31"/>
        <v/>
      </c>
      <c r="O210" s="135" t="str">
        <f t="shared" si="31"/>
        <v/>
      </c>
      <c r="P210" s="135" t="str">
        <f t="shared" si="31"/>
        <v/>
      </c>
      <c r="Q210" s="135" t="str">
        <f t="shared" si="31"/>
        <v/>
      </c>
      <c r="R210" s="135" t="str">
        <f t="shared" si="31"/>
        <v/>
      </c>
      <c r="S210" s="135" t="str">
        <f t="shared" si="31"/>
        <v/>
      </c>
      <c r="T210" s="135" t="str">
        <f t="shared" si="31"/>
        <v/>
      </c>
      <c r="U210" s="135" t="str">
        <f t="shared" si="31"/>
        <v/>
      </c>
    </row>
    <row r="211" spans="1:21" ht="15" hidden="1" customHeight="1" x14ac:dyDescent="0.2">
      <c r="A211" s="163"/>
      <c r="B211" s="154"/>
      <c r="C211" s="155"/>
      <c r="D211" s="155"/>
      <c r="E211" s="131"/>
      <c r="F211" s="146" t="str">
        <f>IF(A211="","",IFERROR(INDEX(Table_Complete_CGNC_PCG!$E:$E,MATCH(L211,Table_Complete_CGNC_PCG!$I:$I,0)),"? Non mappe"))</f>
        <v/>
      </c>
      <c r="G211" s="147" t="str">
        <f>IF(A211="","",IFERROR(INDEX(Table_Complete_CGNC_PCG!$F:$F,MATCH(L211,Table_Complete_CGNC_PCG!$I:$I,0)),"Non trouve — ajouter dans la table"))</f>
        <v/>
      </c>
      <c r="H211" s="148" t="str">
        <f t="shared" si="32"/>
        <v/>
      </c>
      <c r="I211" s="148" t="str">
        <f t="shared" si="27"/>
        <v/>
      </c>
      <c r="J211" s="131"/>
      <c r="K211" s="133" t="str">
        <f>IF(A211="","",IFERROR(IF(F211="? Non mappe","Compte non trouve - mapper manuellement",IF(AND(ISNUMBER(SEARCH("516",L211)),D211&gt;0),"CAISSE CREDITRICE - anomalie a corriger",IF(IFERROR(INDEX(Table_Complete_CGNC_PCG!$D:$D,MATCH(L211,Table_Complete_CGNC_PCG!$I:$I,0)),"")="?","Retraitement requis - voir table","OK"))),"Erreur"))</f>
        <v/>
      </c>
      <c r="L211" s="141" t="str">
        <f t="shared" si="29"/>
        <v>0</v>
      </c>
      <c r="M211" t="str">
        <f t="shared" si="30"/>
        <v/>
      </c>
      <c r="N211" s="135" t="str">
        <f t="shared" si="31"/>
        <v/>
      </c>
      <c r="O211" s="135" t="str">
        <f t="shared" si="31"/>
        <v/>
      </c>
      <c r="P211" s="135" t="str">
        <f t="shared" si="31"/>
        <v/>
      </c>
      <c r="Q211" s="135" t="str">
        <f t="shared" si="31"/>
        <v/>
      </c>
      <c r="R211" s="135" t="str">
        <f t="shared" si="31"/>
        <v/>
      </c>
      <c r="S211" s="135" t="str">
        <f t="shared" si="31"/>
        <v/>
      </c>
      <c r="T211" s="135" t="str">
        <f t="shared" si="31"/>
        <v/>
      </c>
      <c r="U211" s="135" t="str">
        <f t="shared" si="31"/>
        <v/>
      </c>
    </row>
    <row r="212" spans="1:21" ht="15" hidden="1" customHeight="1" x14ac:dyDescent="0.2">
      <c r="A212" s="165"/>
      <c r="B212" s="156"/>
      <c r="C212" s="157"/>
      <c r="D212" s="157"/>
      <c r="E212" s="131"/>
      <c r="F212" s="153" t="str">
        <f>IF(A212="","",IFERROR(INDEX(Table_Complete_CGNC_PCG!$E:$E,MATCH(L212,Table_Complete_CGNC_PCG!$I:$I,0)),"? Non mappe"))</f>
        <v/>
      </c>
      <c r="G212" s="149" t="str">
        <f>IF(A212="","",IFERROR(INDEX(Table_Complete_CGNC_PCG!$F:$F,MATCH(L212,Table_Complete_CGNC_PCG!$I:$I,0)),"Non trouve — ajouter dans la table"))</f>
        <v/>
      </c>
      <c r="H212" s="150" t="str">
        <f t="shared" si="32"/>
        <v/>
      </c>
      <c r="I212" s="150" t="str">
        <f t="shared" si="27"/>
        <v/>
      </c>
      <c r="J212" s="131"/>
      <c r="K212" s="134" t="str">
        <f>IF(A212="","",IFERROR(IF(F212="? Non mappe","Compte non trouve - mapper manuellement",IF(AND(ISNUMBER(SEARCH("516",L212)),D212&gt;0),"CAISSE CREDITRICE - anomalie a corriger",IF(IFERROR(INDEX(Table_Complete_CGNC_PCG!$D:$D,MATCH(L212,Table_Complete_CGNC_PCG!$I:$I,0)),"")="?","Retraitement requis - voir table","OK"))),"Erreur"))</f>
        <v/>
      </c>
      <c r="L212" s="141" t="str">
        <f t="shared" si="29"/>
        <v>0</v>
      </c>
      <c r="M212" t="str">
        <f t="shared" si="30"/>
        <v/>
      </c>
      <c r="N212" s="135" t="str">
        <f t="shared" ref="N212:U212" si="33">IF(M212="","",IF(AND(LEN(M212)&gt;3,RIGHT(M212,1)="0"),LEFT(M212,LEN(M212)-1),M212))</f>
        <v/>
      </c>
      <c r="O212" s="135" t="str">
        <f t="shared" si="33"/>
        <v/>
      </c>
      <c r="P212" s="135" t="str">
        <f t="shared" si="33"/>
        <v/>
      </c>
      <c r="Q212" s="135" t="str">
        <f t="shared" si="33"/>
        <v/>
      </c>
      <c r="R212" s="135" t="str">
        <f t="shared" si="33"/>
        <v/>
      </c>
      <c r="S212" s="135" t="str">
        <f t="shared" si="33"/>
        <v/>
      </c>
      <c r="T212" s="135" t="str">
        <f t="shared" si="33"/>
        <v/>
      </c>
      <c r="U212" s="135" t="str">
        <f t="shared" si="33"/>
        <v/>
      </c>
    </row>
    <row r="213" spans="1:21" ht="21.75" customHeight="1" x14ac:dyDescent="0.2">
      <c r="A213" s="186" t="s">
        <v>1325</v>
      </c>
      <c r="B213" s="186"/>
      <c r="C213" s="136">
        <f>IFERROR(SUM(C5:C212),0)</f>
        <v>2172985.29</v>
      </c>
      <c r="D213" s="136">
        <f>IFERROR(SUM(D5:D212),0)</f>
        <v>2172985.29</v>
      </c>
      <c r="E213" s="131"/>
      <c r="F213" s="137"/>
      <c r="G213" s="137"/>
      <c r="H213" s="138">
        <f>IFERROR(SUM(H5:H212),0)</f>
        <v>201202.36999999997</v>
      </c>
      <c r="I213" s="138">
        <f>IFERROR(SUM(I5:I212),0)</f>
        <v>201202.34000000003</v>
      </c>
      <c r="J213" s="139"/>
      <c r="K213" s="139"/>
    </row>
    <row r="214" spans="1:21" ht="19.5" customHeight="1" x14ac:dyDescent="0.2">
      <c r="A214" s="187" t="s">
        <v>1326</v>
      </c>
      <c r="B214" s="187"/>
      <c r="C214" s="188" t="str">
        <f>IF(ABS(D213-C213)&lt;0.01,"✓ Balance équilibrée","⚠ Déséquilibre : "&amp;TEXT(ABS(C213-D213),"#,##0.00")&amp;" MAD")</f>
        <v>✓ Balance équilibrée</v>
      </c>
      <c r="D214" s="188"/>
      <c r="F214" s="187" t="s">
        <v>1327</v>
      </c>
      <c r="G214" s="187"/>
      <c r="H214" s="189" t="str">
        <f>IF(ABS(H213-I213)&lt;0.01,"✓ Balance équilibrée","⚠ Écart arrondi : "&amp;TEXT(ABS(H213-I213),"#,##")&amp;" €")</f>
        <v>⚠ Écart arrondi : ,03 €</v>
      </c>
      <c r="I214" s="189"/>
    </row>
    <row r="215" spans="1:21" x14ac:dyDescent="0.2">
      <c r="H215" s="190"/>
    </row>
  </sheetData>
  <mergeCells count="11">
    <mergeCell ref="A213:B213"/>
    <mergeCell ref="A214:B214"/>
    <mergeCell ref="C214:D214"/>
    <mergeCell ref="F214:G214"/>
    <mergeCell ref="H214:I214"/>
    <mergeCell ref="A3:D3"/>
    <mergeCell ref="F3:K3"/>
    <mergeCell ref="A1:K1"/>
    <mergeCell ref="A2:B2"/>
    <mergeCell ref="D2:F2"/>
    <mergeCell ref="G2:K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Table_Complete_CGNC_PCG</vt:lpstr>
      <vt:lpstr>Conversion_Balance retravail 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2026-02-13T10:18:12Z</dcterms:created>
  <dcterms:modified xsi:type="dcterms:W3CDTF">2026-03-05T11:57:41Z</dcterms:modified>
  <dc:language>en-US</dc:language>
</cp:coreProperties>
</file>