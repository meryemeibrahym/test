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ibrahym/Desktop/MES OUTILS/"/>
    </mc:Choice>
  </mc:AlternateContent>
  <xr:revisionPtr revIDLastSave="0" documentId="13_ncr:1_{C39FDF0F-D77C-CD47-B4F2-65FB850B97B3}" xr6:coauthVersionLast="47" xr6:coauthVersionMax="47" xr10:uidLastSave="{00000000-0000-0000-0000-000000000000}"/>
  <bookViews>
    <workbookView xWindow="28800" yWindow="460" windowWidth="38400" windowHeight="19340" tabRatio="500" activeTab="5" xr2:uid="{00000000-000D-0000-FFFF-FFFF00000000}"/>
  </bookViews>
  <sheets>
    <sheet name="Infos" sheetId="1" r:id="rId1"/>
    <sheet name="① Hypothèses" sheetId="2" r:id="rId2"/>
    <sheet name="② Holding CR" sheetId="3" r:id="rId3"/>
    <sheet name="③ Exploitation CR" sheetId="4" r:id="rId4"/>
    <sheet name="④ Exploitation Trésorerie" sheetId="5" r:id="rId5"/>
    <sheet name="⑤ SIG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5" l="1"/>
  <c r="C12" i="5"/>
  <c r="C29" i="5"/>
  <c r="AF10" i="3"/>
  <c r="AG10" i="3"/>
  <c r="AH10" i="3"/>
  <c r="AI10" i="3"/>
  <c r="AJ10" i="3"/>
  <c r="AK10" i="3"/>
  <c r="AL10" i="3"/>
  <c r="AM10" i="3"/>
  <c r="AN10" i="3"/>
  <c r="AO10" i="3"/>
  <c r="AP10" i="3"/>
  <c r="AE10" i="3"/>
  <c r="R10" i="3"/>
  <c r="S10" i="3"/>
  <c r="T10" i="3"/>
  <c r="U10" i="3"/>
  <c r="V10" i="3"/>
  <c r="W10" i="3"/>
  <c r="X10" i="3"/>
  <c r="Y10" i="3"/>
  <c r="Z10" i="3"/>
  <c r="AA10" i="3"/>
  <c r="AB10" i="3"/>
  <c r="Q10" i="3"/>
  <c r="AE28" i="4"/>
  <c r="C7" i="4"/>
  <c r="C26" i="4"/>
  <c r="D26" i="4"/>
  <c r="Q26" i="4"/>
  <c r="B22" i="6"/>
  <c r="D22" i="6"/>
  <c r="F22" i="6"/>
  <c r="B24" i="6"/>
  <c r="D24" i="6"/>
  <c r="F24" i="6"/>
  <c r="C6" i="4"/>
  <c r="F26" i="4"/>
  <c r="E26" i="4"/>
  <c r="B97" i="2"/>
  <c r="C32" i="4" s="1"/>
  <c r="AP6" i="4"/>
  <c r="AO6" i="4"/>
  <c r="AN6" i="4"/>
  <c r="AM6" i="4"/>
  <c r="AL6" i="4"/>
  <c r="AK6" i="4"/>
  <c r="AJ6" i="4"/>
  <c r="AI6" i="4"/>
  <c r="AH6" i="4"/>
  <c r="AG6" i="4"/>
  <c r="AF6" i="4"/>
  <c r="AE6" i="4"/>
  <c r="AE7" i="4" s="1"/>
  <c r="AB6" i="4"/>
  <c r="AA6" i="4"/>
  <c r="Z6" i="4"/>
  <c r="Y6" i="4"/>
  <c r="X6" i="4"/>
  <c r="W6" i="4"/>
  <c r="V6" i="4"/>
  <c r="U6" i="4"/>
  <c r="N6" i="4"/>
  <c r="M6" i="4"/>
  <c r="L6" i="4"/>
  <c r="K6" i="4"/>
  <c r="J6" i="4"/>
  <c r="I6" i="4"/>
  <c r="H6" i="4"/>
  <c r="G6" i="4"/>
  <c r="F6" i="4"/>
  <c r="E6" i="4"/>
  <c r="T6" i="4"/>
  <c r="S6" i="4"/>
  <c r="Q6" i="4"/>
  <c r="Q9" i="4" s="1"/>
  <c r="R6" i="4"/>
  <c r="D6" i="4"/>
  <c r="C11" i="3"/>
  <c r="O11" i="3" s="1"/>
  <c r="Q12" i="3"/>
  <c r="O10" i="3"/>
  <c r="B102" i="2"/>
  <c r="B101" i="2"/>
  <c r="C12" i="3" l="1"/>
  <c r="D47" i="2"/>
  <c r="D46" i="2"/>
  <c r="D45" i="2"/>
  <c r="D44" i="2"/>
  <c r="D43" i="2"/>
  <c r="D42" i="2"/>
  <c r="D41" i="2"/>
  <c r="D40" i="2"/>
  <c r="D39" i="2"/>
  <c r="D38" i="2"/>
  <c r="D37" i="2"/>
  <c r="D36" i="2"/>
  <c r="H10" i="5" l="1"/>
  <c r="G10" i="5"/>
  <c r="F10" i="5"/>
  <c r="E10" i="5"/>
  <c r="D10" i="5"/>
  <c r="C10" i="5"/>
  <c r="H9" i="5"/>
  <c r="G9" i="5"/>
  <c r="F9" i="5"/>
  <c r="E9" i="5"/>
  <c r="D9" i="5"/>
  <c r="C9" i="5"/>
  <c r="AQ6" i="5"/>
  <c r="AC6" i="5"/>
  <c r="AP28" i="4"/>
  <c r="AP29" i="4" s="1"/>
  <c r="AO28" i="4"/>
  <c r="AN28" i="4"/>
  <c r="AN29" i="4" s="1"/>
  <c r="AM28" i="4"/>
  <c r="AM29" i="4" s="1"/>
  <c r="AL28" i="4"/>
  <c r="AL29" i="4" s="1"/>
  <c r="AK28" i="4"/>
  <c r="AK29" i="4" s="1"/>
  <c r="AJ28" i="4"/>
  <c r="AJ29" i="4" s="1"/>
  <c r="AI28" i="4"/>
  <c r="AI29" i="4" s="1"/>
  <c r="AH28" i="4"/>
  <c r="AH29" i="4" s="1"/>
  <c r="AG28" i="4"/>
  <c r="AG29" i="4" s="1"/>
  <c r="AF28" i="4"/>
  <c r="AF29" i="4" s="1"/>
  <c r="AE29" i="4"/>
  <c r="AB28" i="4"/>
  <c r="AB29" i="4" s="1"/>
  <c r="AA28" i="4"/>
  <c r="AA29" i="4" s="1"/>
  <c r="Z28" i="4"/>
  <c r="Z29" i="4" s="1"/>
  <c r="Y28" i="4"/>
  <c r="Y29" i="4" s="1"/>
  <c r="X28" i="4"/>
  <c r="W28" i="4"/>
  <c r="W29" i="4" s="1"/>
  <c r="V28" i="4"/>
  <c r="V29" i="4" s="1"/>
  <c r="U28" i="4"/>
  <c r="U29" i="4" s="1"/>
  <c r="T28" i="4"/>
  <c r="T29" i="4" s="1"/>
  <c r="S28" i="4"/>
  <c r="S29" i="4" s="1"/>
  <c r="R28" i="4"/>
  <c r="R29" i="4" s="1"/>
  <c r="Q28" i="4"/>
  <c r="Q29" i="4" s="1"/>
  <c r="N28" i="4"/>
  <c r="N29" i="4" s="1"/>
  <c r="M28" i="4"/>
  <c r="M29" i="4" s="1"/>
  <c r="L28" i="4"/>
  <c r="L29" i="4" s="1"/>
  <c r="K28" i="4"/>
  <c r="K29" i="4" s="1"/>
  <c r="J28" i="4"/>
  <c r="J29" i="4" s="1"/>
  <c r="I28" i="4"/>
  <c r="I29" i="4" s="1"/>
  <c r="H28" i="4"/>
  <c r="H29" i="4" s="1"/>
  <c r="G28" i="4"/>
  <c r="F29" i="4"/>
  <c r="E29" i="4"/>
  <c r="D29" i="4"/>
  <c r="C29" i="4"/>
  <c r="AP26" i="4"/>
  <c r="AO26" i="4"/>
  <c r="AO27" i="4" s="1"/>
  <c r="AN26" i="4"/>
  <c r="AN27" i="4" s="1"/>
  <c r="AM26" i="4"/>
  <c r="AM27" i="4" s="1"/>
  <c r="AL26" i="4"/>
  <c r="AK26" i="4"/>
  <c r="AK27" i="4" s="1"/>
  <c r="AJ26" i="4"/>
  <c r="AI26" i="4"/>
  <c r="AI27" i="4" s="1"/>
  <c r="AH26" i="4"/>
  <c r="AG26" i="4"/>
  <c r="AG27" i="4" s="1"/>
  <c r="AF26" i="4"/>
  <c r="AF27" i="4" s="1"/>
  <c r="AE26" i="4"/>
  <c r="AE27" i="4" s="1"/>
  <c r="AB26" i="4"/>
  <c r="AB27" i="4" s="1"/>
  <c r="AA26" i="4"/>
  <c r="Z26" i="4"/>
  <c r="Z27" i="4" s="1"/>
  <c r="Y26" i="4"/>
  <c r="X26" i="4"/>
  <c r="X27" i="4" s="1"/>
  <c r="W26" i="4"/>
  <c r="W27" i="4" s="1"/>
  <c r="V26" i="4"/>
  <c r="V27" i="4" s="1"/>
  <c r="U26" i="4"/>
  <c r="T26" i="4"/>
  <c r="T27" i="4" s="1"/>
  <c r="S26" i="4"/>
  <c r="R26" i="4"/>
  <c r="R27" i="4" s="1"/>
  <c r="N26" i="4"/>
  <c r="N27" i="4" s="1"/>
  <c r="M26" i="4"/>
  <c r="M27" i="4" s="1"/>
  <c r="L26" i="4"/>
  <c r="K26" i="4"/>
  <c r="K27" i="4" s="1"/>
  <c r="J26" i="4"/>
  <c r="I26" i="4"/>
  <c r="I27" i="4" s="1"/>
  <c r="H26" i="4"/>
  <c r="G26" i="4"/>
  <c r="G27" i="4" s="1"/>
  <c r="F27" i="4"/>
  <c r="E27" i="4"/>
  <c r="C27" i="4"/>
  <c r="AP23" i="4"/>
  <c r="AP24" i="5" s="1"/>
  <c r="AO23" i="4"/>
  <c r="AO24" i="5" s="1"/>
  <c r="AN23" i="4"/>
  <c r="AN24" i="5" s="1"/>
  <c r="AM23" i="4"/>
  <c r="AM24" i="5" s="1"/>
  <c r="AL23" i="4"/>
  <c r="AL24" i="5" s="1"/>
  <c r="AK23" i="4"/>
  <c r="AK24" i="5" s="1"/>
  <c r="AJ23" i="4"/>
  <c r="AJ24" i="5" s="1"/>
  <c r="AI23" i="4"/>
  <c r="AI24" i="5" s="1"/>
  <c r="AH23" i="4"/>
  <c r="AH24" i="5" s="1"/>
  <c r="AG23" i="4"/>
  <c r="AG24" i="5" s="1"/>
  <c r="AF23" i="4"/>
  <c r="AF24" i="5" s="1"/>
  <c r="AE23" i="4"/>
  <c r="AE24" i="5" s="1"/>
  <c r="AB23" i="4"/>
  <c r="AB24" i="5" s="1"/>
  <c r="AA23" i="4"/>
  <c r="AA24" i="5" s="1"/>
  <c r="Z23" i="4"/>
  <c r="Z24" i="5" s="1"/>
  <c r="Y23" i="4"/>
  <c r="Y24" i="5" s="1"/>
  <c r="X23" i="4"/>
  <c r="X24" i="5" s="1"/>
  <c r="W23" i="4"/>
  <c r="W24" i="5" s="1"/>
  <c r="V23" i="4"/>
  <c r="V24" i="5" s="1"/>
  <c r="U23" i="4"/>
  <c r="U24" i="5" s="1"/>
  <c r="T23" i="4"/>
  <c r="T24" i="5" s="1"/>
  <c r="S23" i="4"/>
  <c r="S24" i="5" s="1"/>
  <c r="R23" i="4"/>
  <c r="R24" i="5" s="1"/>
  <c r="Q23" i="4"/>
  <c r="Q24" i="5" s="1"/>
  <c r="N23" i="4"/>
  <c r="N24" i="5" s="1"/>
  <c r="M23" i="4"/>
  <c r="M24" i="5" s="1"/>
  <c r="L23" i="4"/>
  <c r="L24" i="5" s="1"/>
  <c r="K23" i="4"/>
  <c r="K24" i="5" s="1"/>
  <c r="J23" i="4"/>
  <c r="J24" i="5" s="1"/>
  <c r="I23" i="4"/>
  <c r="I24" i="5" s="1"/>
  <c r="H23" i="4"/>
  <c r="H24" i="5" s="1"/>
  <c r="G23" i="4"/>
  <c r="G24" i="5" s="1"/>
  <c r="F23" i="4"/>
  <c r="F24" i="5" s="1"/>
  <c r="E23" i="4"/>
  <c r="E24" i="5" s="1"/>
  <c r="D23" i="4"/>
  <c r="D24" i="5" s="1"/>
  <c r="C23" i="4"/>
  <c r="C24" i="5" s="1"/>
  <c r="AP22" i="4"/>
  <c r="AP23" i="5" s="1"/>
  <c r="AO22" i="4"/>
  <c r="AO23" i="5" s="1"/>
  <c r="AN22" i="4"/>
  <c r="AN23" i="5" s="1"/>
  <c r="AM22" i="4"/>
  <c r="AM23" i="5" s="1"/>
  <c r="AL22" i="4"/>
  <c r="AL23" i="5" s="1"/>
  <c r="AK22" i="4"/>
  <c r="AK23" i="5" s="1"/>
  <c r="AJ22" i="4"/>
  <c r="AJ23" i="5" s="1"/>
  <c r="AI22" i="4"/>
  <c r="AI23" i="5" s="1"/>
  <c r="AH22" i="4"/>
  <c r="AH23" i="5" s="1"/>
  <c r="AG22" i="4"/>
  <c r="AG23" i="5" s="1"/>
  <c r="AF22" i="4"/>
  <c r="AF23" i="5" s="1"/>
  <c r="AE22" i="4"/>
  <c r="AE23" i="5" s="1"/>
  <c r="AB22" i="4"/>
  <c r="AB23" i="5" s="1"/>
  <c r="AA22" i="4"/>
  <c r="AA23" i="5" s="1"/>
  <c r="Z22" i="4"/>
  <c r="Z23" i="5" s="1"/>
  <c r="Y22" i="4"/>
  <c r="Y23" i="5" s="1"/>
  <c r="X22" i="4"/>
  <c r="X23" i="5" s="1"/>
  <c r="W22" i="4"/>
  <c r="W23" i="5" s="1"/>
  <c r="V22" i="4"/>
  <c r="V23" i="5" s="1"/>
  <c r="U22" i="4"/>
  <c r="U23" i="5" s="1"/>
  <c r="T22" i="4"/>
  <c r="T23" i="5" s="1"/>
  <c r="S22" i="4"/>
  <c r="S23" i="5" s="1"/>
  <c r="R22" i="4"/>
  <c r="R23" i="5" s="1"/>
  <c r="Q22" i="4"/>
  <c r="Q23" i="5" s="1"/>
  <c r="N22" i="4"/>
  <c r="N23" i="5" s="1"/>
  <c r="M22" i="4"/>
  <c r="M23" i="5" s="1"/>
  <c r="L22" i="4"/>
  <c r="L23" i="5" s="1"/>
  <c r="K22" i="4"/>
  <c r="K23" i="5" s="1"/>
  <c r="J22" i="4"/>
  <c r="J23" i="5" s="1"/>
  <c r="I22" i="4"/>
  <c r="I23" i="5" s="1"/>
  <c r="H22" i="4"/>
  <c r="H23" i="5" s="1"/>
  <c r="G22" i="4"/>
  <c r="G23" i="5" s="1"/>
  <c r="F22" i="4"/>
  <c r="F23" i="5" s="1"/>
  <c r="E22" i="4"/>
  <c r="E23" i="5" s="1"/>
  <c r="D22" i="4"/>
  <c r="D23" i="5" s="1"/>
  <c r="C22" i="4"/>
  <c r="C23" i="5" s="1"/>
  <c r="AP21" i="4"/>
  <c r="AP22" i="5" s="1"/>
  <c r="AO21" i="4"/>
  <c r="AO22" i="5" s="1"/>
  <c r="AN21" i="4"/>
  <c r="AN22" i="5" s="1"/>
  <c r="AM21" i="4"/>
  <c r="AM22" i="5" s="1"/>
  <c r="AL21" i="4"/>
  <c r="AL22" i="5" s="1"/>
  <c r="AK21" i="4"/>
  <c r="AK22" i="5" s="1"/>
  <c r="AJ21" i="4"/>
  <c r="AJ22" i="5" s="1"/>
  <c r="AI21" i="4"/>
  <c r="AI22" i="5" s="1"/>
  <c r="AH21" i="4"/>
  <c r="AH22" i="5" s="1"/>
  <c r="AG21" i="4"/>
  <c r="AG22" i="5" s="1"/>
  <c r="AF21" i="4"/>
  <c r="AF22" i="5" s="1"/>
  <c r="AE21" i="4"/>
  <c r="AE22" i="5" s="1"/>
  <c r="AB21" i="4"/>
  <c r="AB22" i="5" s="1"/>
  <c r="AA21" i="4"/>
  <c r="AA22" i="5" s="1"/>
  <c r="Z21" i="4"/>
  <c r="Z22" i="5" s="1"/>
  <c r="Y21" i="4"/>
  <c r="Y22" i="5" s="1"/>
  <c r="X21" i="4"/>
  <c r="X22" i="5" s="1"/>
  <c r="W21" i="4"/>
  <c r="W22" i="5" s="1"/>
  <c r="V21" i="4"/>
  <c r="V22" i="5" s="1"/>
  <c r="U21" i="4"/>
  <c r="U22" i="5" s="1"/>
  <c r="T21" i="4"/>
  <c r="T22" i="5" s="1"/>
  <c r="S21" i="4"/>
  <c r="S22" i="5" s="1"/>
  <c r="R21" i="4"/>
  <c r="R22" i="5" s="1"/>
  <c r="Q21" i="4"/>
  <c r="Q22" i="5" s="1"/>
  <c r="N21" i="4"/>
  <c r="N22" i="5" s="1"/>
  <c r="M21" i="4"/>
  <c r="M22" i="5" s="1"/>
  <c r="L21" i="4"/>
  <c r="L22" i="5" s="1"/>
  <c r="K21" i="4"/>
  <c r="K22" i="5" s="1"/>
  <c r="J21" i="4"/>
  <c r="J22" i="5" s="1"/>
  <c r="I21" i="4"/>
  <c r="I22" i="5" s="1"/>
  <c r="H21" i="4"/>
  <c r="H22" i="5" s="1"/>
  <c r="G21" i="4"/>
  <c r="G22" i="5" s="1"/>
  <c r="F21" i="4"/>
  <c r="F22" i="5" s="1"/>
  <c r="E21" i="4"/>
  <c r="E22" i="5" s="1"/>
  <c r="D21" i="4"/>
  <c r="D22" i="5" s="1"/>
  <c r="C21" i="4"/>
  <c r="C22" i="5" s="1"/>
  <c r="AP20" i="4"/>
  <c r="AP21" i="5" s="1"/>
  <c r="AO20" i="4"/>
  <c r="AO21" i="5" s="1"/>
  <c r="AN20" i="4"/>
  <c r="AN21" i="5" s="1"/>
  <c r="AM20" i="4"/>
  <c r="AM21" i="5" s="1"/>
  <c r="AL20" i="4"/>
  <c r="AL21" i="5" s="1"/>
  <c r="AK20" i="4"/>
  <c r="AK21" i="5" s="1"/>
  <c r="AJ20" i="4"/>
  <c r="AJ21" i="5" s="1"/>
  <c r="AI20" i="4"/>
  <c r="AI21" i="5" s="1"/>
  <c r="AH20" i="4"/>
  <c r="AH21" i="5" s="1"/>
  <c r="AG20" i="4"/>
  <c r="AG21" i="5" s="1"/>
  <c r="AF20" i="4"/>
  <c r="AF21" i="5" s="1"/>
  <c r="AE20" i="4"/>
  <c r="AE21" i="5" s="1"/>
  <c r="AB20" i="4"/>
  <c r="AB21" i="5" s="1"/>
  <c r="AA20" i="4"/>
  <c r="AA21" i="5" s="1"/>
  <c r="Z20" i="4"/>
  <c r="Z21" i="5" s="1"/>
  <c r="Y20" i="4"/>
  <c r="Y21" i="5" s="1"/>
  <c r="X20" i="4"/>
  <c r="X21" i="5" s="1"/>
  <c r="W20" i="4"/>
  <c r="W21" i="5" s="1"/>
  <c r="V20" i="4"/>
  <c r="V21" i="5" s="1"/>
  <c r="U20" i="4"/>
  <c r="U21" i="5" s="1"/>
  <c r="T20" i="4"/>
  <c r="T21" i="5" s="1"/>
  <c r="S20" i="4"/>
  <c r="S21" i="5" s="1"/>
  <c r="R20" i="4"/>
  <c r="R21" i="5" s="1"/>
  <c r="Q20" i="4"/>
  <c r="Q21" i="5" s="1"/>
  <c r="N20" i="4"/>
  <c r="N21" i="5" s="1"/>
  <c r="M20" i="4"/>
  <c r="M21" i="5" s="1"/>
  <c r="L20" i="4"/>
  <c r="L21" i="5" s="1"/>
  <c r="K20" i="4"/>
  <c r="K21" i="5" s="1"/>
  <c r="J20" i="4"/>
  <c r="J21" i="5" s="1"/>
  <c r="I20" i="4"/>
  <c r="I21" i="5" s="1"/>
  <c r="H20" i="4"/>
  <c r="H21" i="5" s="1"/>
  <c r="G20" i="4"/>
  <c r="G21" i="5" s="1"/>
  <c r="F20" i="4"/>
  <c r="F21" i="5" s="1"/>
  <c r="E20" i="4"/>
  <c r="E21" i="5" s="1"/>
  <c r="D20" i="4"/>
  <c r="D21" i="5" s="1"/>
  <c r="C20" i="4"/>
  <c r="C21" i="5" s="1"/>
  <c r="AP19" i="4"/>
  <c r="AP20" i="5" s="1"/>
  <c r="AO19" i="4"/>
  <c r="AO20" i="5" s="1"/>
  <c r="AN19" i="4"/>
  <c r="AN20" i="5" s="1"/>
  <c r="AM19" i="4"/>
  <c r="AM20" i="5" s="1"/>
  <c r="AL19" i="4"/>
  <c r="AL20" i="5" s="1"/>
  <c r="AK19" i="4"/>
  <c r="AK20" i="5" s="1"/>
  <c r="AJ19" i="4"/>
  <c r="AJ20" i="5" s="1"/>
  <c r="AI19" i="4"/>
  <c r="AI20" i="5" s="1"/>
  <c r="AH19" i="4"/>
  <c r="AH20" i="5" s="1"/>
  <c r="AG19" i="4"/>
  <c r="AG20" i="5" s="1"/>
  <c r="AF19" i="4"/>
  <c r="AF20" i="5" s="1"/>
  <c r="AE19" i="4"/>
  <c r="AE20" i="5" s="1"/>
  <c r="AB19" i="4"/>
  <c r="AB20" i="5" s="1"/>
  <c r="AA19" i="4"/>
  <c r="AA20" i="5" s="1"/>
  <c r="Z19" i="4"/>
  <c r="Z20" i="5" s="1"/>
  <c r="Y19" i="4"/>
  <c r="Y20" i="5" s="1"/>
  <c r="X19" i="4"/>
  <c r="X20" i="5" s="1"/>
  <c r="W19" i="4"/>
  <c r="W20" i="5" s="1"/>
  <c r="V19" i="4"/>
  <c r="V20" i="5" s="1"/>
  <c r="U19" i="4"/>
  <c r="U20" i="5" s="1"/>
  <c r="T19" i="4"/>
  <c r="T20" i="5" s="1"/>
  <c r="S19" i="4"/>
  <c r="S20" i="5" s="1"/>
  <c r="R19" i="4"/>
  <c r="R20" i="5" s="1"/>
  <c r="Q19" i="4"/>
  <c r="N19" i="4"/>
  <c r="N20" i="5" s="1"/>
  <c r="M19" i="4"/>
  <c r="M20" i="5" s="1"/>
  <c r="L19" i="4"/>
  <c r="L20" i="5" s="1"/>
  <c r="K19" i="4"/>
  <c r="K20" i="5" s="1"/>
  <c r="J19" i="4"/>
  <c r="J20" i="5" s="1"/>
  <c r="I19" i="4"/>
  <c r="I20" i="5" s="1"/>
  <c r="H19" i="4"/>
  <c r="H20" i="5" s="1"/>
  <c r="G19" i="4"/>
  <c r="G20" i="5" s="1"/>
  <c r="F19" i="4"/>
  <c r="F20" i="5" s="1"/>
  <c r="E19" i="4"/>
  <c r="E20" i="5" s="1"/>
  <c r="D19" i="4"/>
  <c r="D20" i="5" s="1"/>
  <c r="C19" i="4"/>
  <c r="C20" i="5" s="1"/>
  <c r="AP18" i="4"/>
  <c r="AP19" i="5" s="1"/>
  <c r="AO18" i="4"/>
  <c r="AO19" i="5" s="1"/>
  <c r="AN18" i="4"/>
  <c r="AN19" i="5" s="1"/>
  <c r="AM18" i="4"/>
  <c r="AM19" i="5" s="1"/>
  <c r="AL18" i="4"/>
  <c r="AL19" i="5" s="1"/>
  <c r="AK18" i="4"/>
  <c r="AK19" i="5" s="1"/>
  <c r="AJ18" i="4"/>
  <c r="AJ19" i="5" s="1"/>
  <c r="AI18" i="4"/>
  <c r="AI19" i="5" s="1"/>
  <c r="AH18" i="4"/>
  <c r="AH19" i="5" s="1"/>
  <c r="AG18" i="4"/>
  <c r="AG19" i="5" s="1"/>
  <c r="AF18" i="4"/>
  <c r="AF19" i="5" s="1"/>
  <c r="AE18" i="4"/>
  <c r="AE19" i="5" s="1"/>
  <c r="AB18" i="4"/>
  <c r="AB19" i="5" s="1"/>
  <c r="AA18" i="4"/>
  <c r="AA19" i="5" s="1"/>
  <c r="Z18" i="4"/>
  <c r="Z19" i="5" s="1"/>
  <c r="Y18" i="4"/>
  <c r="Y19" i="5" s="1"/>
  <c r="X18" i="4"/>
  <c r="X19" i="5" s="1"/>
  <c r="W18" i="4"/>
  <c r="W19" i="5" s="1"/>
  <c r="V18" i="4"/>
  <c r="V19" i="5" s="1"/>
  <c r="U18" i="4"/>
  <c r="U19" i="5" s="1"/>
  <c r="T18" i="4"/>
  <c r="T19" i="5" s="1"/>
  <c r="S18" i="4"/>
  <c r="S19" i="5" s="1"/>
  <c r="R18" i="4"/>
  <c r="R19" i="5" s="1"/>
  <c r="Q18" i="4"/>
  <c r="Q19" i="5" s="1"/>
  <c r="N18" i="4"/>
  <c r="N19" i="5" s="1"/>
  <c r="M18" i="4"/>
  <c r="M19" i="5" s="1"/>
  <c r="L18" i="4"/>
  <c r="L19" i="5" s="1"/>
  <c r="K18" i="4"/>
  <c r="K19" i="5" s="1"/>
  <c r="J18" i="4"/>
  <c r="J19" i="5" s="1"/>
  <c r="I18" i="4"/>
  <c r="I19" i="5" s="1"/>
  <c r="H18" i="4"/>
  <c r="H19" i="5" s="1"/>
  <c r="G18" i="4"/>
  <c r="G19" i="5" s="1"/>
  <c r="F18" i="4"/>
  <c r="F19" i="5" s="1"/>
  <c r="E18" i="4"/>
  <c r="E19" i="5" s="1"/>
  <c r="D18" i="4"/>
  <c r="D19" i="5" s="1"/>
  <c r="C18" i="4"/>
  <c r="C19" i="5" s="1"/>
  <c r="AP17" i="4"/>
  <c r="AP18" i="5" s="1"/>
  <c r="AO17" i="4"/>
  <c r="AO18" i="5" s="1"/>
  <c r="AN17" i="4"/>
  <c r="AN18" i="5" s="1"/>
  <c r="AM17" i="4"/>
  <c r="AM18" i="5" s="1"/>
  <c r="AL17" i="4"/>
  <c r="AL18" i="5" s="1"/>
  <c r="AK17" i="4"/>
  <c r="AK18" i="5" s="1"/>
  <c r="AJ17" i="4"/>
  <c r="AJ18" i="5" s="1"/>
  <c r="AI17" i="4"/>
  <c r="AI18" i="5" s="1"/>
  <c r="AH17" i="4"/>
  <c r="AH18" i="5" s="1"/>
  <c r="AG17" i="4"/>
  <c r="AG18" i="5" s="1"/>
  <c r="AF17" i="4"/>
  <c r="AF18" i="5" s="1"/>
  <c r="AE17" i="4"/>
  <c r="AE18" i="5" s="1"/>
  <c r="AB17" i="4"/>
  <c r="AB18" i="5" s="1"/>
  <c r="AA17" i="4"/>
  <c r="AA18" i="5" s="1"/>
  <c r="Z17" i="4"/>
  <c r="Z18" i="5" s="1"/>
  <c r="Y17" i="4"/>
  <c r="Y18" i="5" s="1"/>
  <c r="X17" i="4"/>
  <c r="X18" i="5" s="1"/>
  <c r="W17" i="4"/>
  <c r="W18" i="5" s="1"/>
  <c r="V17" i="4"/>
  <c r="V18" i="5" s="1"/>
  <c r="U17" i="4"/>
  <c r="U18" i="5" s="1"/>
  <c r="T17" i="4"/>
  <c r="T18" i="5" s="1"/>
  <c r="S17" i="4"/>
  <c r="S18" i="5" s="1"/>
  <c r="R17" i="4"/>
  <c r="R18" i="5" s="1"/>
  <c r="Q17" i="4"/>
  <c r="Q18" i="5" s="1"/>
  <c r="N17" i="4"/>
  <c r="N18" i="5" s="1"/>
  <c r="M17" i="4"/>
  <c r="M18" i="5" s="1"/>
  <c r="L17" i="4"/>
  <c r="L18" i="5" s="1"/>
  <c r="K17" i="4"/>
  <c r="K18" i="5" s="1"/>
  <c r="J17" i="4"/>
  <c r="J18" i="5" s="1"/>
  <c r="I17" i="4"/>
  <c r="I18" i="5" s="1"/>
  <c r="H17" i="4"/>
  <c r="H18" i="5" s="1"/>
  <c r="G17" i="4"/>
  <c r="G18" i="5" s="1"/>
  <c r="F17" i="4"/>
  <c r="F18" i="5" s="1"/>
  <c r="E17" i="4"/>
  <c r="E18" i="5" s="1"/>
  <c r="D17" i="4"/>
  <c r="D18" i="5" s="1"/>
  <c r="C17" i="4"/>
  <c r="C18" i="5" s="1"/>
  <c r="AP16" i="4"/>
  <c r="AP17" i="5" s="1"/>
  <c r="AO16" i="4"/>
  <c r="AO17" i="5" s="1"/>
  <c r="AN16" i="4"/>
  <c r="AN17" i="5" s="1"/>
  <c r="AM16" i="4"/>
  <c r="AM17" i="5" s="1"/>
  <c r="AL16" i="4"/>
  <c r="AL17" i="5" s="1"/>
  <c r="AK16" i="4"/>
  <c r="AK17" i="5" s="1"/>
  <c r="AJ16" i="4"/>
  <c r="AJ17" i="5" s="1"/>
  <c r="AI16" i="4"/>
  <c r="AI17" i="5" s="1"/>
  <c r="AH16" i="4"/>
  <c r="AH17" i="5" s="1"/>
  <c r="AG16" i="4"/>
  <c r="AG17" i="5" s="1"/>
  <c r="AF16" i="4"/>
  <c r="AF17" i="5" s="1"/>
  <c r="AE16" i="4"/>
  <c r="AE17" i="5" s="1"/>
  <c r="AB16" i="4"/>
  <c r="AB17" i="5" s="1"/>
  <c r="AA16" i="4"/>
  <c r="AA17" i="5" s="1"/>
  <c r="Z16" i="4"/>
  <c r="Z17" i="5" s="1"/>
  <c r="Y16" i="4"/>
  <c r="Y17" i="5" s="1"/>
  <c r="X16" i="4"/>
  <c r="X17" i="5" s="1"/>
  <c r="W16" i="4"/>
  <c r="W17" i="5" s="1"/>
  <c r="V16" i="4"/>
  <c r="V17" i="5" s="1"/>
  <c r="U16" i="4"/>
  <c r="U17" i="5" s="1"/>
  <c r="T16" i="4"/>
  <c r="T17" i="5" s="1"/>
  <c r="S16" i="4"/>
  <c r="S17" i="5" s="1"/>
  <c r="R16" i="4"/>
  <c r="R17" i="5" s="1"/>
  <c r="Q16" i="4"/>
  <c r="Q17" i="5" s="1"/>
  <c r="N16" i="4"/>
  <c r="N17" i="5" s="1"/>
  <c r="M16" i="4"/>
  <c r="M17" i="5" s="1"/>
  <c r="L16" i="4"/>
  <c r="L17" i="5" s="1"/>
  <c r="K16" i="4"/>
  <c r="K17" i="5" s="1"/>
  <c r="J16" i="4"/>
  <c r="J17" i="5" s="1"/>
  <c r="I16" i="4"/>
  <c r="I17" i="5" s="1"/>
  <c r="H16" i="4"/>
  <c r="H17" i="5" s="1"/>
  <c r="G16" i="4"/>
  <c r="G17" i="5" s="1"/>
  <c r="F16" i="4"/>
  <c r="F17" i="5" s="1"/>
  <c r="E16" i="4"/>
  <c r="E17" i="5" s="1"/>
  <c r="D16" i="4"/>
  <c r="D17" i="5" s="1"/>
  <c r="C16" i="4"/>
  <c r="C17" i="5" s="1"/>
  <c r="AP7" i="5"/>
  <c r="AN7" i="5"/>
  <c r="AL7" i="5"/>
  <c r="AJ7" i="5"/>
  <c r="AH7" i="5"/>
  <c r="AG8" i="4"/>
  <c r="AG9" i="5" s="1"/>
  <c r="AF7" i="5"/>
  <c r="AA7" i="5"/>
  <c r="Y9" i="4"/>
  <c r="Y10" i="5" s="1"/>
  <c r="X8" i="4"/>
  <c r="X9" i="5" s="1"/>
  <c r="W7" i="5"/>
  <c r="V8" i="4"/>
  <c r="V9" i="5" s="1"/>
  <c r="U7" i="5"/>
  <c r="S7" i="5"/>
  <c r="Q7" i="4"/>
  <c r="N7" i="5"/>
  <c r="L10" i="5"/>
  <c r="J7" i="5"/>
  <c r="H7" i="4"/>
  <c r="F7" i="5"/>
  <c r="D7" i="5"/>
  <c r="C13" i="4"/>
  <c r="AQ10" i="3"/>
  <c r="AC10" i="3"/>
  <c r="AN11" i="3"/>
  <c r="Y32" i="4"/>
  <c r="B48" i="2"/>
  <c r="C47" i="2"/>
  <c r="C46" i="2"/>
  <c r="C45" i="2"/>
  <c r="C44" i="2"/>
  <c r="C43" i="2"/>
  <c r="C42" i="2"/>
  <c r="C41" i="2"/>
  <c r="C40" i="2"/>
  <c r="C39" i="2"/>
  <c r="C38" i="2"/>
  <c r="C37" i="2"/>
  <c r="C36" i="2"/>
  <c r="B7" i="2"/>
  <c r="Y7" i="4" l="1"/>
  <c r="Y8" i="5" s="1"/>
  <c r="U9" i="4"/>
  <c r="U10" i="5" s="1"/>
  <c r="AF13" i="4"/>
  <c r="AF14" i="5" s="1"/>
  <c r="AF7" i="4"/>
  <c r="AF8" i="5" s="1"/>
  <c r="AN13" i="4"/>
  <c r="AN14" i="5" s="1"/>
  <c r="AN7" i="4"/>
  <c r="AJ9" i="4"/>
  <c r="AJ10" i="5" s="1"/>
  <c r="J7" i="4"/>
  <c r="J8" i="5" s="1"/>
  <c r="J10" i="5"/>
  <c r="H13" i="4"/>
  <c r="H14" i="5" s="1"/>
  <c r="W9" i="4"/>
  <c r="W10" i="5" s="1"/>
  <c r="H32" i="4"/>
  <c r="O17" i="5"/>
  <c r="AQ19" i="5"/>
  <c r="O21" i="5"/>
  <c r="AC22" i="5"/>
  <c r="AQ23" i="5"/>
  <c r="Q32" i="4"/>
  <c r="S7" i="4"/>
  <c r="S8" i="5" s="1"/>
  <c r="AH7" i="4"/>
  <c r="AH8" i="5" s="1"/>
  <c r="AL9" i="4"/>
  <c r="AL10" i="5" s="1"/>
  <c r="J13" i="4"/>
  <c r="AH13" i="4"/>
  <c r="AQ17" i="5"/>
  <c r="F7" i="4"/>
  <c r="F14" i="4" s="1"/>
  <c r="F15" i="5" s="1"/>
  <c r="W7" i="4"/>
  <c r="W14" i="4" s="1"/>
  <c r="W15" i="5" s="1"/>
  <c r="AJ7" i="4"/>
  <c r="AJ8" i="5" s="1"/>
  <c r="S9" i="4"/>
  <c r="S10" i="5" s="1"/>
  <c r="AF9" i="4"/>
  <c r="AF10" i="5" s="1"/>
  <c r="AN9" i="4"/>
  <c r="AN10" i="5" s="1"/>
  <c r="S13" i="4"/>
  <c r="S14" i="5" s="1"/>
  <c r="AJ13" i="4"/>
  <c r="AJ14" i="5" s="1"/>
  <c r="AL7" i="4"/>
  <c r="AL8" i="5" s="1"/>
  <c r="AH9" i="4"/>
  <c r="AH10" i="5" s="1"/>
  <c r="F13" i="4"/>
  <c r="F14" i="5" s="1"/>
  <c r="W13" i="4"/>
  <c r="W14" i="5" s="1"/>
  <c r="AL13" i="4"/>
  <c r="AL14" i="5" s="1"/>
  <c r="N7" i="4"/>
  <c r="N8" i="5" s="1"/>
  <c r="AP7" i="4"/>
  <c r="AP9" i="4"/>
  <c r="AP10" i="5" s="1"/>
  <c r="N13" i="4"/>
  <c r="N14" i="5" s="1"/>
  <c r="AP13" i="4"/>
  <c r="N10" i="5"/>
  <c r="AA7" i="4"/>
  <c r="AA8" i="5" s="1"/>
  <c r="AA9" i="4"/>
  <c r="AA10" i="5" s="1"/>
  <c r="AA13" i="4"/>
  <c r="Q13" i="4"/>
  <c r="Q14" i="5" s="1"/>
  <c r="Q10" i="5"/>
  <c r="AO11" i="3"/>
  <c r="AK11" i="3"/>
  <c r="AG11" i="3"/>
  <c r="AB11" i="3"/>
  <c r="X11" i="3"/>
  <c r="T11" i="3"/>
  <c r="AM11" i="3"/>
  <c r="AH11" i="3"/>
  <c r="AA11" i="3"/>
  <c r="V11" i="3"/>
  <c r="Q11" i="3"/>
  <c r="L11" i="3"/>
  <c r="H11" i="3"/>
  <c r="D11" i="3"/>
  <c r="AL11" i="3"/>
  <c r="AF11" i="3"/>
  <c r="Z11" i="3"/>
  <c r="U11" i="3"/>
  <c r="K11" i="3"/>
  <c r="G11" i="3"/>
  <c r="AJ11" i="3"/>
  <c r="Y11" i="3"/>
  <c r="N11" i="3"/>
  <c r="F11" i="3"/>
  <c r="AI11" i="3"/>
  <c r="W11" i="3"/>
  <c r="M11" i="3"/>
  <c r="E11" i="3"/>
  <c r="AP11" i="3"/>
  <c r="AE11" i="3"/>
  <c r="S11" i="3"/>
  <c r="J11" i="3"/>
  <c r="R11" i="3"/>
  <c r="B9" i="2"/>
  <c r="B14" i="2"/>
  <c r="B17" i="2" s="1"/>
  <c r="B24" i="2" s="1"/>
  <c r="C6" i="3" s="1"/>
  <c r="C14" i="3" s="1"/>
  <c r="B13" i="2"/>
  <c r="I11" i="3"/>
  <c r="E7" i="5"/>
  <c r="E13" i="4"/>
  <c r="E7" i="4"/>
  <c r="E11" i="4" s="1"/>
  <c r="I7" i="5"/>
  <c r="I13" i="4"/>
  <c r="I7" i="4"/>
  <c r="M7" i="5"/>
  <c r="M10" i="5"/>
  <c r="M13" i="4"/>
  <c r="M7" i="4"/>
  <c r="AQ16" i="4"/>
  <c r="O6" i="5"/>
  <c r="Q20" i="5"/>
  <c r="AC20" i="5" s="1"/>
  <c r="AC19" i="4"/>
  <c r="O20" i="4"/>
  <c r="G29" i="4"/>
  <c r="G30" i="4" s="1"/>
  <c r="O28" i="4"/>
  <c r="X29" i="4"/>
  <c r="X30" i="4" s="1"/>
  <c r="AE7" i="5"/>
  <c r="AE9" i="4"/>
  <c r="AE13" i="4"/>
  <c r="AE8" i="4"/>
  <c r="AI7" i="5"/>
  <c r="AI9" i="4"/>
  <c r="AI10" i="5" s="1"/>
  <c r="AI13" i="4"/>
  <c r="AI7" i="4"/>
  <c r="AM7" i="5"/>
  <c r="AM9" i="4"/>
  <c r="AM10" i="5" s="1"/>
  <c r="AM13" i="4"/>
  <c r="AM7" i="4"/>
  <c r="AM8" i="4"/>
  <c r="AM9" i="5" s="1"/>
  <c r="AQ6" i="4"/>
  <c r="N14" i="4"/>
  <c r="N15" i="5" s="1"/>
  <c r="AA14" i="5"/>
  <c r="AQ22" i="4"/>
  <c r="R7" i="5"/>
  <c r="R9" i="4"/>
  <c r="R10" i="5" s="1"/>
  <c r="R13" i="4"/>
  <c r="R7" i="4"/>
  <c r="R8" i="4"/>
  <c r="R9" i="5" s="1"/>
  <c r="V7" i="5"/>
  <c r="V9" i="4"/>
  <c r="V10" i="5" s="1"/>
  <c r="V13" i="4"/>
  <c r="V7" i="4"/>
  <c r="Z7" i="5"/>
  <c r="Z9" i="4"/>
  <c r="Z10" i="5" s="1"/>
  <c r="Z13" i="4"/>
  <c r="Z7" i="4"/>
  <c r="Z8" i="4"/>
  <c r="Z9" i="5" s="1"/>
  <c r="Q8" i="5"/>
  <c r="Q14" i="4"/>
  <c r="M9" i="5"/>
  <c r="AI8" i="4"/>
  <c r="AI9" i="5" s="1"/>
  <c r="O16" i="4"/>
  <c r="C7" i="5"/>
  <c r="C11" i="4"/>
  <c r="G7" i="5"/>
  <c r="G13" i="4"/>
  <c r="G7" i="4"/>
  <c r="G11" i="4" s="1"/>
  <c r="K7" i="5"/>
  <c r="K13" i="4"/>
  <c r="K7" i="4"/>
  <c r="K10" i="5"/>
  <c r="K9" i="5"/>
  <c r="O6" i="4"/>
  <c r="T7" i="5"/>
  <c r="T13" i="4"/>
  <c r="T7" i="4"/>
  <c r="T9" i="4"/>
  <c r="T10" i="5" s="1"/>
  <c r="T8" i="4"/>
  <c r="T9" i="5" s="1"/>
  <c r="X7" i="5"/>
  <c r="X13" i="4"/>
  <c r="X7" i="4"/>
  <c r="X9" i="4"/>
  <c r="X10" i="5" s="1"/>
  <c r="AB7" i="5"/>
  <c r="AB13" i="4"/>
  <c r="AB7" i="4"/>
  <c r="AB9" i="4"/>
  <c r="AB10" i="5" s="1"/>
  <c r="AB8" i="4"/>
  <c r="AB9" i="5" s="1"/>
  <c r="AG7" i="5"/>
  <c r="AG13" i="4"/>
  <c r="AG7" i="4"/>
  <c r="AG9" i="4"/>
  <c r="AG10" i="5" s="1"/>
  <c r="AK7" i="5"/>
  <c r="AK13" i="4"/>
  <c r="AK7" i="4"/>
  <c r="AK9" i="4"/>
  <c r="AK10" i="5" s="1"/>
  <c r="AK8" i="4"/>
  <c r="AK9" i="5" s="1"/>
  <c r="AO7" i="5"/>
  <c r="AO13" i="4"/>
  <c r="AO7" i="4"/>
  <c r="AO9" i="4"/>
  <c r="AO10" i="5" s="1"/>
  <c r="H8" i="5"/>
  <c r="H14" i="4"/>
  <c r="H15" i="5" s="1"/>
  <c r="AN8" i="5"/>
  <c r="AN14" i="4"/>
  <c r="AN15" i="5" s="1"/>
  <c r="J14" i="5"/>
  <c r="AH14" i="5"/>
  <c r="AP14" i="5"/>
  <c r="O19" i="5"/>
  <c r="O18" i="4"/>
  <c r="C30" i="4"/>
  <c r="K30" i="4"/>
  <c r="AN32" i="4"/>
  <c r="AJ32" i="4"/>
  <c r="AF32" i="4"/>
  <c r="AA32" i="4"/>
  <c r="W32" i="4"/>
  <c r="S32" i="4"/>
  <c r="N32" i="4"/>
  <c r="J32" i="4"/>
  <c r="F32" i="4"/>
  <c r="AM32" i="4"/>
  <c r="AI32" i="4"/>
  <c r="AE32" i="4"/>
  <c r="Z32" i="4"/>
  <c r="V32" i="4"/>
  <c r="R32" i="4"/>
  <c r="M32" i="4"/>
  <c r="I32" i="4"/>
  <c r="E32" i="4"/>
  <c r="AO32" i="4"/>
  <c r="AG32" i="4"/>
  <c r="X32" i="4"/>
  <c r="G32" i="4"/>
  <c r="AL32" i="4"/>
  <c r="U32" i="4"/>
  <c r="L32" i="4"/>
  <c r="D32" i="4"/>
  <c r="AK32" i="4"/>
  <c r="AB32" i="4"/>
  <c r="T32" i="4"/>
  <c r="K32" i="4"/>
  <c r="AH32" i="4"/>
  <c r="D13" i="4"/>
  <c r="D7" i="4"/>
  <c r="H7" i="5"/>
  <c r="H11" i="4"/>
  <c r="L7" i="5"/>
  <c r="L9" i="5"/>
  <c r="L13" i="4"/>
  <c r="L7" i="4"/>
  <c r="Q7" i="5"/>
  <c r="Q8" i="4"/>
  <c r="Q9" i="5" s="1"/>
  <c r="U8" i="4"/>
  <c r="U9" i="5" s="1"/>
  <c r="U13" i="4"/>
  <c r="U7" i="4"/>
  <c r="Y7" i="5"/>
  <c r="Y8" i="4"/>
  <c r="Y9" i="5" s="1"/>
  <c r="AC6" i="4"/>
  <c r="J14" i="4"/>
  <c r="J15" i="5" s="1"/>
  <c r="W8" i="5"/>
  <c r="AH14" i="4"/>
  <c r="AH15" i="5" s="1"/>
  <c r="AP8" i="5"/>
  <c r="AP14" i="4"/>
  <c r="AP15" i="5" s="1"/>
  <c r="AO8" i="4"/>
  <c r="AO9" i="5" s="1"/>
  <c r="Y13" i="4"/>
  <c r="AQ18" i="4"/>
  <c r="D27" i="4"/>
  <c r="D25" i="5" s="1"/>
  <c r="H27" i="4"/>
  <c r="H30" i="4" s="1"/>
  <c r="L27" i="4"/>
  <c r="L30" i="4" s="1"/>
  <c r="AO29" i="4"/>
  <c r="AQ29" i="4" s="1"/>
  <c r="AG30" i="4"/>
  <c r="AP32" i="4"/>
  <c r="AL14" i="4"/>
  <c r="AL15" i="5" s="1"/>
  <c r="AC18" i="5"/>
  <c r="AC17" i="4"/>
  <c r="AC21" i="4"/>
  <c r="Q27" i="4"/>
  <c r="U27" i="4"/>
  <c r="U25" i="5" s="1"/>
  <c r="Y27" i="4"/>
  <c r="Y30" i="4" s="1"/>
  <c r="AC26" i="4"/>
  <c r="AH27" i="4"/>
  <c r="AH30" i="4" s="1"/>
  <c r="AL27" i="4"/>
  <c r="AL25" i="5" s="1"/>
  <c r="AP27" i="4"/>
  <c r="AP25" i="5" s="1"/>
  <c r="T30" i="4"/>
  <c r="AB30" i="4"/>
  <c r="AK30" i="4"/>
  <c r="AC28" i="4"/>
  <c r="AH8" i="4"/>
  <c r="AH9" i="5" s="1"/>
  <c r="AL8" i="4"/>
  <c r="AL9" i="5" s="1"/>
  <c r="AP8" i="4"/>
  <c r="AP9" i="5" s="1"/>
  <c r="AC17" i="5"/>
  <c r="AC16" i="4"/>
  <c r="AQ18" i="5"/>
  <c r="AQ17" i="4"/>
  <c r="O20" i="5"/>
  <c r="O19" i="4"/>
  <c r="AC21" i="5"/>
  <c r="AC20" i="4"/>
  <c r="AQ22" i="5"/>
  <c r="AQ21" i="4"/>
  <c r="O24" i="5"/>
  <c r="O23" i="4"/>
  <c r="E25" i="5"/>
  <c r="E30" i="4"/>
  <c r="I25" i="5"/>
  <c r="I30" i="4"/>
  <c r="M25" i="5"/>
  <c r="M30" i="4"/>
  <c r="R25" i="5"/>
  <c r="R30" i="4"/>
  <c r="V25" i="5"/>
  <c r="V30" i="4"/>
  <c r="Z25" i="5"/>
  <c r="Z30" i="4"/>
  <c r="AE25" i="5"/>
  <c r="AE30" i="4"/>
  <c r="AI25" i="5"/>
  <c r="AI30" i="4"/>
  <c r="AM25" i="5"/>
  <c r="AM30" i="4"/>
  <c r="AQ26" i="4"/>
  <c r="J27" i="4"/>
  <c r="J25" i="5" s="1"/>
  <c r="S27" i="4"/>
  <c r="S30" i="4" s="1"/>
  <c r="AA27" i="4"/>
  <c r="AA25" i="5" s="1"/>
  <c r="AJ27" i="4"/>
  <c r="AJ25" i="5" s="1"/>
  <c r="AQ21" i="5"/>
  <c r="AQ20" i="4"/>
  <c r="O23" i="5"/>
  <c r="O22" i="4"/>
  <c r="AC24" i="5"/>
  <c r="AC23" i="4"/>
  <c r="F25" i="5"/>
  <c r="N25" i="5"/>
  <c r="W25" i="5"/>
  <c r="AF25" i="5"/>
  <c r="AN25" i="5"/>
  <c r="AQ28" i="4"/>
  <c r="J9" i="5"/>
  <c r="N9" i="5"/>
  <c r="S8" i="4"/>
  <c r="S9" i="5" s="1"/>
  <c r="W8" i="4"/>
  <c r="W9" i="5" s="1"/>
  <c r="AA8" i="4"/>
  <c r="AA9" i="5" s="1"/>
  <c r="AF8" i="4"/>
  <c r="AF9" i="5" s="1"/>
  <c r="AJ8" i="4"/>
  <c r="AJ9" i="5" s="1"/>
  <c r="AN8" i="4"/>
  <c r="AN9" i="5" s="1"/>
  <c r="O18" i="5"/>
  <c r="O17" i="4"/>
  <c r="AC19" i="5"/>
  <c r="AC18" i="4"/>
  <c r="AQ20" i="5"/>
  <c r="AQ19" i="4"/>
  <c r="O22" i="5"/>
  <c r="O21" i="4"/>
  <c r="AC23" i="5"/>
  <c r="AC22" i="4"/>
  <c r="AQ24" i="5"/>
  <c r="AQ23" i="4"/>
  <c r="C25" i="5"/>
  <c r="G25" i="5"/>
  <c r="K25" i="5"/>
  <c r="O26" i="4"/>
  <c r="T25" i="5"/>
  <c r="AB25" i="5"/>
  <c r="AG25" i="5"/>
  <c r="AK25" i="5"/>
  <c r="F30" i="4"/>
  <c r="N30" i="4"/>
  <c r="W30" i="4"/>
  <c r="AF30" i="4"/>
  <c r="AN30" i="4"/>
  <c r="F11" i="4" l="1"/>
  <c r="F8" i="5"/>
  <c r="F12" i="5" s="1"/>
  <c r="W12" i="5"/>
  <c r="O29" i="4"/>
  <c r="S14" i="4"/>
  <c r="S15" i="5" s="1"/>
  <c r="AJ14" i="4"/>
  <c r="AJ15" i="5" s="1"/>
  <c r="AP12" i="5"/>
  <c r="H12" i="5"/>
  <c r="Q11" i="4"/>
  <c r="Q34" i="4" s="1"/>
  <c r="AJ12" i="5"/>
  <c r="Y14" i="4"/>
  <c r="Y15" i="5" s="1"/>
  <c r="W11" i="4"/>
  <c r="AA12" i="5"/>
  <c r="AJ11" i="4"/>
  <c r="AN12" i="5"/>
  <c r="AF14" i="4"/>
  <c r="AF15" i="5" s="1"/>
  <c r="AA14" i="4"/>
  <c r="AA15" i="5" s="1"/>
  <c r="J12" i="5"/>
  <c r="S12" i="5"/>
  <c r="AH12" i="5"/>
  <c r="S11" i="4"/>
  <c r="S34" i="4" s="1"/>
  <c r="L25" i="5"/>
  <c r="AC32" i="4"/>
  <c r="D16" i="6" s="1"/>
  <c r="T11" i="4"/>
  <c r="AN11" i="4"/>
  <c r="AN34" i="4" s="1"/>
  <c r="Y25" i="5"/>
  <c r="AL12" i="5"/>
  <c r="H25" i="5"/>
  <c r="O25" i="5" s="1"/>
  <c r="AF11" i="4"/>
  <c r="AF12" i="5"/>
  <c r="AB11" i="4"/>
  <c r="AE11" i="4"/>
  <c r="S25" i="5"/>
  <c r="AH25" i="5"/>
  <c r="AJ30" i="4"/>
  <c r="AL30" i="4"/>
  <c r="AO30" i="4"/>
  <c r="N11" i="4"/>
  <c r="N34" i="4" s="1"/>
  <c r="N12" i="5"/>
  <c r="W34" i="4"/>
  <c r="F34" i="4"/>
  <c r="AC27" i="4"/>
  <c r="AQ32" i="4"/>
  <c r="F16" i="6" s="1"/>
  <c r="AG8" i="5"/>
  <c r="AG12" i="5" s="1"/>
  <c r="AG14" i="4"/>
  <c r="AG15" i="5" s="1"/>
  <c r="V14" i="5"/>
  <c r="AM8" i="5"/>
  <c r="AM12" i="5" s="1"/>
  <c r="AM14" i="4"/>
  <c r="AM15" i="5" s="1"/>
  <c r="AC9" i="4"/>
  <c r="D10" i="6" s="1"/>
  <c r="I14" i="5"/>
  <c r="Q30" i="4"/>
  <c r="Y11" i="4"/>
  <c r="D8" i="5"/>
  <c r="D12" i="5" s="1"/>
  <c r="D14" i="4"/>
  <c r="D15" i="5" s="1"/>
  <c r="AK14" i="5"/>
  <c r="AG14" i="5"/>
  <c r="T14" i="5"/>
  <c r="K11" i="4"/>
  <c r="Q15" i="5"/>
  <c r="R8" i="5"/>
  <c r="R14" i="4"/>
  <c r="R15" i="5" s="1"/>
  <c r="AM14" i="5"/>
  <c r="AI14" i="5"/>
  <c r="AE9" i="5"/>
  <c r="AQ9" i="5" s="1"/>
  <c r="AQ8" i="4"/>
  <c r="F9" i="6" s="1"/>
  <c r="AQ7" i="5"/>
  <c r="AA30" i="4"/>
  <c r="AC10" i="5"/>
  <c r="I10" i="5"/>
  <c r="O10" i="5" s="1"/>
  <c r="O9" i="4"/>
  <c r="B10" i="6" s="1"/>
  <c r="AQ11" i="3"/>
  <c r="AC11" i="3"/>
  <c r="U14" i="5"/>
  <c r="AK8" i="5"/>
  <c r="AK12" i="5" s="1"/>
  <c r="AK14" i="4"/>
  <c r="AK15" i="5" s="1"/>
  <c r="K14" i="5"/>
  <c r="AE10" i="5"/>
  <c r="AQ10" i="5" s="1"/>
  <c r="AQ9" i="4"/>
  <c r="F10" i="6" s="1"/>
  <c r="AN9" i="3"/>
  <c r="AN12" i="3" s="1"/>
  <c r="AJ9" i="3"/>
  <c r="AJ12" i="3" s="1"/>
  <c r="AF9" i="3"/>
  <c r="AF12" i="3" s="1"/>
  <c r="AA9" i="3"/>
  <c r="AA12" i="3" s="1"/>
  <c r="W9" i="3"/>
  <c r="W12" i="3" s="1"/>
  <c r="S9" i="3"/>
  <c r="S12" i="3" s="1"/>
  <c r="N9" i="3"/>
  <c r="N12" i="3" s="1"/>
  <c r="J9" i="3"/>
  <c r="J12" i="3" s="1"/>
  <c r="F9" i="3"/>
  <c r="F12" i="3" s="1"/>
  <c r="B18" i="2"/>
  <c r="AM9" i="3"/>
  <c r="AM12" i="3" s="1"/>
  <c r="AI9" i="3"/>
  <c r="AI12" i="3" s="1"/>
  <c r="AE9" i="3"/>
  <c r="Z9" i="3"/>
  <c r="Z12" i="3" s="1"/>
  <c r="V9" i="3"/>
  <c r="V12" i="3" s="1"/>
  <c r="R9" i="3"/>
  <c r="R12" i="3" s="1"/>
  <c r="M9" i="3"/>
  <c r="M12" i="3" s="1"/>
  <c r="I9" i="3"/>
  <c r="I12" i="3" s="1"/>
  <c r="E9" i="3"/>
  <c r="E12" i="3" s="1"/>
  <c r="AK9" i="3"/>
  <c r="AK12" i="3" s="1"/>
  <c r="AB9" i="3"/>
  <c r="AB12" i="3" s="1"/>
  <c r="T9" i="3"/>
  <c r="T12" i="3" s="1"/>
  <c r="K9" i="3"/>
  <c r="K12" i="3" s="1"/>
  <c r="C9" i="3"/>
  <c r="AP9" i="3"/>
  <c r="AP12" i="3" s="1"/>
  <c r="AH9" i="3"/>
  <c r="AH12" i="3" s="1"/>
  <c r="Y9" i="3"/>
  <c r="Y12" i="3" s="1"/>
  <c r="Q9" i="3"/>
  <c r="H9" i="3"/>
  <c r="H12" i="3" s="1"/>
  <c r="AO9" i="3"/>
  <c r="AO12" i="3" s="1"/>
  <c r="AG9" i="3"/>
  <c r="AG12" i="3" s="1"/>
  <c r="X9" i="3"/>
  <c r="X12" i="3" s="1"/>
  <c r="G9" i="3"/>
  <c r="G12" i="3" s="1"/>
  <c r="AL9" i="3"/>
  <c r="AL12" i="3" s="1"/>
  <c r="D9" i="3"/>
  <c r="D12" i="3" s="1"/>
  <c r="O12" i="3" s="1"/>
  <c r="B19" i="2"/>
  <c r="B20" i="2" s="1"/>
  <c r="U9" i="3"/>
  <c r="U12" i="3" s="1"/>
  <c r="L9" i="3"/>
  <c r="L12" i="3" s="1"/>
  <c r="AJ34" i="4"/>
  <c r="AP30" i="4"/>
  <c r="AC7" i="5"/>
  <c r="L11" i="4"/>
  <c r="AO25" i="5"/>
  <c r="AQ25" i="5" s="1"/>
  <c r="AP11" i="4"/>
  <c r="U30" i="4"/>
  <c r="Y12" i="5"/>
  <c r="U11" i="4"/>
  <c r="AQ27" i="4"/>
  <c r="AO8" i="5"/>
  <c r="AO12" i="5" s="1"/>
  <c r="AO14" i="4"/>
  <c r="AO15" i="5" s="1"/>
  <c r="AK11" i="4"/>
  <c r="AB8" i="5"/>
  <c r="AB12" i="5" s="1"/>
  <c r="AB14" i="4"/>
  <c r="AB15" i="5" s="1"/>
  <c r="X8" i="5"/>
  <c r="X12" i="5" s="1"/>
  <c r="X14" i="4"/>
  <c r="X15" i="5" s="1"/>
  <c r="X11" i="4"/>
  <c r="G8" i="5"/>
  <c r="G12" i="5" s="1"/>
  <c r="G14" i="4"/>
  <c r="G15" i="5" s="1"/>
  <c r="C8" i="5"/>
  <c r="O7" i="4"/>
  <c r="B8" i="6" s="1"/>
  <c r="C14" i="4"/>
  <c r="Z8" i="5"/>
  <c r="Z12" i="5" s="1"/>
  <c r="Z14" i="4"/>
  <c r="Z15" i="5" s="1"/>
  <c r="Z11" i="4"/>
  <c r="V11" i="4"/>
  <c r="R14" i="5"/>
  <c r="J30" i="4"/>
  <c r="AM11" i="4"/>
  <c r="F7" i="6"/>
  <c r="AQ7" i="4"/>
  <c r="F8" i="6" s="1"/>
  <c r="AE14" i="4"/>
  <c r="AE8" i="5"/>
  <c r="M11" i="4"/>
  <c r="M8" i="5"/>
  <c r="M12" i="5" s="1"/>
  <c r="M14" i="4"/>
  <c r="M15" i="5" s="1"/>
  <c r="I11" i="4"/>
  <c r="T8" i="5"/>
  <c r="T12" i="5" s="1"/>
  <c r="T14" i="4"/>
  <c r="T15" i="5" s="1"/>
  <c r="O7" i="5"/>
  <c r="AC7" i="4"/>
  <c r="D8" i="6" s="1"/>
  <c r="AI8" i="5"/>
  <c r="AI12" i="5" s="1"/>
  <c r="AI14" i="4"/>
  <c r="AI15" i="5" s="1"/>
  <c r="AI11" i="4"/>
  <c r="E14" i="5"/>
  <c r="AL11" i="4"/>
  <c r="O32" i="4"/>
  <c r="B16" i="6" s="1"/>
  <c r="AC29" i="4"/>
  <c r="X25" i="5"/>
  <c r="Q25" i="5"/>
  <c r="D30" i="4"/>
  <c r="AG11" i="4"/>
  <c r="L8" i="5"/>
  <c r="L12" i="5" s="1"/>
  <c r="L14" i="4"/>
  <c r="L15" i="5" s="1"/>
  <c r="D14" i="5"/>
  <c r="AA11" i="4"/>
  <c r="J11" i="4"/>
  <c r="O27" i="4"/>
  <c r="AH11" i="4"/>
  <c r="Y14" i="5"/>
  <c r="D7" i="6"/>
  <c r="U8" i="5"/>
  <c r="U12" i="5" s="1"/>
  <c r="U14" i="4"/>
  <c r="U15" i="5" s="1"/>
  <c r="AC9" i="5"/>
  <c r="AC8" i="4"/>
  <c r="D9" i="6" s="1"/>
  <c r="L14" i="5"/>
  <c r="H34" i="4"/>
  <c r="D11" i="4"/>
  <c r="AO11" i="4"/>
  <c r="AO14" i="5"/>
  <c r="AB14" i="5"/>
  <c r="X14" i="5"/>
  <c r="B7" i="6"/>
  <c r="K8" i="5"/>
  <c r="K12" i="5" s="1"/>
  <c r="K14" i="4"/>
  <c r="K15" i="5" s="1"/>
  <c r="G14" i="5"/>
  <c r="C14" i="5"/>
  <c r="O13" i="4"/>
  <c r="AC13" i="4"/>
  <c r="Z14" i="5"/>
  <c r="V8" i="5"/>
  <c r="V12" i="5" s="1"/>
  <c r="V14" i="4"/>
  <c r="V15" i="5" s="1"/>
  <c r="R11" i="4"/>
  <c r="I9" i="5"/>
  <c r="O9" i="5" s="1"/>
  <c r="O8" i="4"/>
  <c r="B9" i="6" s="1"/>
  <c r="AQ13" i="4"/>
  <c r="AE14" i="5"/>
  <c r="M14" i="5"/>
  <c r="I8" i="5"/>
  <c r="I14" i="4"/>
  <c r="I15" i="5" s="1"/>
  <c r="E8" i="5"/>
  <c r="E12" i="5" s="1"/>
  <c r="E14" i="4"/>
  <c r="E15" i="5" s="1"/>
  <c r="AF34" i="4" l="1"/>
  <c r="O30" i="4"/>
  <c r="B13" i="6" s="1"/>
  <c r="I12" i="5"/>
  <c r="O12" i="5" s="1"/>
  <c r="AQ30" i="4"/>
  <c r="F13" i="6" s="1"/>
  <c r="AC30" i="4"/>
  <c r="D13" i="6" s="1"/>
  <c r="AC8" i="5"/>
  <c r="AC11" i="4"/>
  <c r="D6" i="6" s="1"/>
  <c r="E34" i="4"/>
  <c r="AO34" i="4"/>
  <c r="AA34" i="4"/>
  <c r="AL34" i="4"/>
  <c r="AQ8" i="5"/>
  <c r="C15" i="5"/>
  <c r="O15" i="5" s="1"/>
  <c r="O14" i="4"/>
  <c r="AO16" i="5"/>
  <c r="AK16" i="5"/>
  <c r="AK26" i="5" s="1"/>
  <c r="AK28" i="5" s="1"/>
  <c r="AG16" i="5"/>
  <c r="AB16" i="5"/>
  <c r="X16" i="5"/>
  <c r="T16" i="5"/>
  <c r="T26" i="5" s="1"/>
  <c r="T28" i="5" s="1"/>
  <c r="K16" i="5"/>
  <c r="G16" i="5"/>
  <c r="G26" i="5" s="1"/>
  <c r="G28" i="5" s="1"/>
  <c r="C16" i="5"/>
  <c r="AN16" i="5"/>
  <c r="AN26" i="5" s="1"/>
  <c r="AN28" i="5" s="1"/>
  <c r="AJ16" i="5"/>
  <c r="AJ26" i="5" s="1"/>
  <c r="AJ28" i="5" s="1"/>
  <c r="AF16" i="5"/>
  <c r="AF26" i="5" s="1"/>
  <c r="AF28" i="5" s="1"/>
  <c r="AA16" i="5"/>
  <c r="AA26" i="5" s="1"/>
  <c r="AA28" i="5" s="1"/>
  <c r="W16" i="5"/>
  <c r="W26" i="5" s="1"/>
  <c r="W28" i="5" s="1"/>
  <c r="S16" i="5"/>
  <c r="S26" i="5" s="1"/>
  <c r="S28" i="5" s="1"/>
  <c r="N16" i="5"/>
  <c r="N26" i="5" s="1"/>
  <c r="N28" i="5" s="1"/>
  <c r="J16" i="5"/>
  <c r="J26" i="5" s="1"/>
  <c r="J28" i="5" s="1"/>
  <c r="F16" i="5"/>
  <c r="F26" i="5" s="1"/>
  <c r="F28" i="5" s="1"/>
  <c r="AM16" i="5"/>
  <c r="AI16" i="5"/>
  <c r="AE16" i="5"/>
  <c r="Z16" i="5"/>
  <c r="Z26" i="5" s="1"/>
  <c r="Z28" i="5" s="1"/>
  <c r="V16" i="5"/>
  <c r="R16" i="5"/>
  <c r="M16" i="5"/>
  <c r="I16" i="5"/>
  <c r="I26" i="5" s="1"/>
  <c r="E16" i="5"/>
  <c r="AP16" i="5"/>
  <c r="AP26" i="5" s="1"/>
  <c r="AP28" i="5" s="1"/>
  <c r="AL16" i="5"/>
  <c r="AL26" i="5" s="1"/>
  <c r="AL28" i="5" s="1"/>
  <c r="AH16" i="5"/>
  <c r="AH26" i="5" s="1"/>
  <c r="AH28" i="5" s="1"/>
  <c r="Y16" i="5"/>
  <c r="Y26" i="5" s="1"/>
  <c r="Y28" i="5" s="1"/>
  <c r="U16" i="5"/>
  <c r="U26" i="5" s="1"/>
  <c r="U28" i="5" s="1"/>
  <c r="Q16" i="5"/>
  <c r="L16" i="5"/>
  <c r="L26" i="5" s="1"/>
  <c r="L28" i="5" s="1"/>
  <c r="H16" i="5"/>
  <c r="H26" i="5" s="1"/>
  <c r="H28" i="5" s="1"/>
  <c r="D16" i="5"/>
  <c r="D26" i="5" s="1"/>
  <c r="D28" i="5" s="1"/>
  <c r="AM15" i="4"/>
  <c r="AI15" i="4"/>
  <c r="AI24" i="4" s="1"/>
  <c r="AI35" i="4" s="1"/>
  <c r="AI36" i="4" s="1"/>
  <c r="AI37" i="4" s="1"/>
  <c r="AE15" i="4"/>
  <c r="AE24" i="4" s="1"/>
  <c r="Z15" i="4"/>
  <c r="Z24" i="4" s="1"/>
  <c r="V15" i="4"/>
  <c r="V24" i="4" s="1"/>
  <c r="V37" i="4" s="1"/>
  <c r="R15" i="4"/>
  <c r="R24" i="4" s="1"/>
  <c r="M15" i="4"/>
  <c r="M24" i="4" s="1"/>
  <c r="I15" i="4"/>
  <c r="I24" i="4" s="1"/>
  <c r="E15" i="4"/>
  <c r="AO15" i="4"/>
  <c r="AO24" i="4" s="1"/>
  <c r="AO35" i="4" s="1"/>
  <c r="AO36" i="4" s="1"/>
  <c r="AO37" i="4" s="1"/>
  <c r="AK15" i="4"/>
  <c r="AG15" i="4"/>
  <c r="AG24" i="4" s="1"/>
  <c r="AG35" i="4" s="1"/>
  <c r="AG36" i="4" s="1"/>
  <c r="AG37" i="4" s="1"/>
  <c r="AB15" i="4"/>
  <c r="AB24" i="4" s="1"/>
  <c r="X15" i="4"/>
  <c r="X24" i="4" s="1"/>
  <c r="T15" i="4"/>
  <c r="K15" i="4"/>
  <c r="G15" i="4"/>
  <c r="G24" i="4" s="1"/>
  <c r="C15" i="4"/>
  <c r="C34" i="4" s="1"/>
  <c r="AN15" i="4"/>
  <c r="AN24" i="4" s="1"/>
  <c r="AN35" i="4" s="1"/>
  <c r="AN36" i="4" s="1"/>
  <c r="AN37" i="4" s="1"/>
  <c r="AF15" i="4"/>
  <c r="AF24" i="4" s="1"/>
  <c r="AF35" i="4" s="1"/>
  <c r="AF36" i="4" s="1"/>
  <c r="AF37" i="4" s="1"/>
  <c r="W15" i="4"/>
  <c r="W24" i="4" s="1"/>
  <c r="N15" i="4"/>
  <c r="N24" i="4" s="1"/>
  <c r="F15" i="4"/>
  <c r="F24" i="4" s="1"/>
  <c r="AP15" i="4"/>
  <c r="AP24" i="4" s="1"/>
  <c r="AP35" i="4" s="1"/>
  <c r="AP36" i="4" s="1"/>
  <c r="AP37" i="4" s="1"/>
  <c r="S15" i="4"/>
  <c r="S24" i="4" s="1"/>
  <c r="H15" i="4"/>
  <c r="H24" i="4" s="1"/>
  <c r="AP6" i="3"/>
  <c r="AP14" i="3" s="1"/>
  <c r="AL6" i="3"/>
  <c r="AL14" i="3" s="1"/>
  <c r="AH6" i="3"/>
  <c r="AH14" i="3" s="1"/>
  <c r="Y6" i="3"/>
  <c r="Y14" i="3" s="1"/>
  <c r="U6" i="3"/>
  <c r="U14" i="3" s="1"/>
  <c r="Q6" i="3"/>
  <c r="Q14" i="3" s="1"/>
  <c r="L6" i="3"/>
  <c r="L14" i="3" s="1"/>
  <c r="H6" i="3"/>
  <c r="H14" i="3" s="1"/>
  <c r="D6" i="3"/>
  <c r="D14" i="3" s="1"/>
  <c r="B25" i="2"/>
  <c r="B26" i="2" s="1"/>
  <c r="AL15" i="4"/>
  <c r="AL24" i="4" s="1"/>
  <c r="AL35" i="4" s="1"/>
  <c r="AL36" i="4" s="1"/>
  <c r="AL37" i="4" s="1"/>
  <c r="AA15" i="4"/>
  <c r="AA24" i="4" s="1"/>
  <c r="AA35" i="4" s="1"/>
  <c r="AA36" i="4" s="1"/>
  <c r="Q15" i="4"/>
  <c r="D15" i="4"/>
  <c r="D24" i="4" s="1"/>
  <c r="D35" i="4" s="1"/>
  <c r="U15" i="4"/>
  <c r="U24" i="4" s="1"/>
  <c r="U35" i="4" s="1"/>
  <c r="U36" i="4" s="1"/>
  <c r="AN6" i="3"/>
  <c r="AN14" i="3" s="1"/>
  <c r="AI6" i="3"/>
  <c r="AI14" i="3" s="1"/>
  <c r="AB6" i="3"/>
  <c r="AB14" i="3" s="1"/>
  <c r="W6" i="3"/>
  <c r="W14" i="3" s="1"/>
  <c r="R6" i="3"/>
  <c r="R14" i="3" s="1"/>
  <c r="K6" i="3"/>
  <c r="K14" i="3" s="1"/>
  <c r="F6" i="3"/>
  <c r="F14" i="3" s="1"/>
  <c r="AJ15" i="4"/>
  <c r="AJ24" i="4" s="1"/>
  <c r="AJ35" i="4" s="1"/>
  <c r="AJ36" i="4" s="1"/>
  <c r="AJ37" i="4" s="1"/>
  <c r="L15" i="4"/>
  <c r="L24" i="4" s="1"/>
  <c r="AM6" i="3"/>
  <c r="AM14" i="3" s="1"/>
  <c r="AG6" i="3"/>
  <c r="AG14" i="3" s="1"/>
  <c r="AA6" i="3"/>
  <c r="AA14" i="3" s="1"/>
  <c r="V6" i="3"/>
  <c r="V14" i="3" s="1"/>
  <c r="J6" i="3"/>
  <c r="J14" i="3" s="1"/>
  <c r="E6" i="3"/>
  <c r="E14" i="3" s="1"/>
  <c r="AH15" i="4"/>
  <c r="AH24" i="4" s="1"/>
  <c r="AH35" i="4" s="1"/>
  <c r="AH36" i="4" s="1"/>
  <c r="AH37" i="4" s="1"/>
  <c r="J15" i="4"/>
  <c r="J24" i="4" s="1"/>
  <c r="J35" i="4" s="1"/>
  <c r="J36" i="4" s="1"/>
  <c r="AK6" i="3"/>
  <c r="AK14" i="3" s="1"/>
  <c r="AF6" i="3"/>
  <c r="AF14" i="3" s="1"/>
  <c r="Z6" i="3"/>
  <c r="Z14" i="3" s="1"/>
  <c r="T6" i="3"/>
  <c r="T14" i="3" s="1"/>
  <c r="N6" i="3"/>
  <c r="N14" i="3" s="1"/>
  <c r="I6" i="3"/>
  <c r="I14" i="3" s="1"/>
  <c r="Y15" i="4"/>
  <c r="Y24" i="4" s="1"/>
  <c r="AO6" i="3"/>
  <c r="AO14" i="3" s="1"/>
  <c r="S6" i="3"/>
  <c r="S14" i="3" s="1"/>
  <c r="AJ6" i="3"/>
  <c r="AJ14" i="3" s="1"/>
  <c r="M6" i="3"/>
  <c r="M14" i="3" s="1"/>
  <c r="AE6" i="3"/>
  <c r="AE14" i="3" s="1"/>
  <c r="G6" i="3"/>
  <c r="G14" i="3" s="1"/>
  <c r="X6" i="3"/>
  <c r="X14" i="3" s="1"/>
  <c r="R12" i="5"/>
  <c r="AE12" i="5"/>
  <c r="AC15" i="5"/>
  <c r="T24" i="4"/>
  <c r="AK24" i="4"/>
  <c r="AK35" i="4" s="1"/>
  <c r="AK36" i="4" s="1"/>
  <c r="AK37" i="4" s="1"/>
  <c r="Y34" i="4"/>
  <c r="AO26" i="5"/>
  <c r="AO28" i="5" s="1"/>
  <c r="J34" i="4"/>
  <c r="AG34" i="4"/>
  <c r="E26" i="5"/>
  <c r="E28" i="5" s="1"/>
  <c r="I34" i="4"/>
  <c r="U34" i="4"/>
  <c r="L34" i="4"/>
  <c r="K26" i="5"/>
  <c r="K28" i="5" s="1"/>
  <c r="AC14" i="4"/>
  <c r="R34" i="4"/>
  <c r="AB26" i="5"/>
  <c r="AB28" i="5" s="1"/>
  <c r="AI34" i="4"/>
  <c r="O14" i="5"/>
  <c r="X26" i="5"/>
  <c r="X28" i="5" s="1"/>
  <c r="D34" i="4"/>
  <c r="M34" i="4"/>
  <c r="R26" i="5"/>
  <c r="Z34" i="4"/>
  <c r="AP34" i="4"/>
  <c r="AI26" i="5"/>
  <c r="AI28" i="5" s="1"/>
  <c r="O11" i="4"/>
  <c r="B6" i="6" s="1"/>
  <c r="C7" i="6" s="1"/>
  <c r="K34" i="4"/>
  <c r="AG26" i="5"/>
  <c r="AG28" i="5" s="1"/>
  <c r="M26" i="5"/>
  <c r="M28" i="5" s="1"/>
  <c r="AH34" i="4"/>
  <c r="AE15" i="5"/>
  <c r="AQ15" i="5" s="1"/>
  <c r="AQ14" i="4"/>
  <c r="AM34" i="4"/>
  <c r="AK34" i="4"/>
  <c r="Q12" i="5"/>
  <c r="AE12" i="3"/>
  <c r="AQ12" i="3" s="1"/>
  <c r="AQ9" i="3"/>
  <c r="AM24" i="4"/>
  <c r="AM35" i="4" s="1"/>
  <c r="AM36" i="4" s="1"/>
  <c r="AM37" i="4" s="1"/>
  <c r="AC14" i="5"/>
  <c r="AQ11" i="4"/>
  <c r="F6" i="6" s="1"/>
  <c r="G8" i="6" s="1"/>
  <c r="AQ14" i="5"/>
  <c r="AC25" i="5"/>
  <c r="E24" i="4"/>
  <c r="V34" i="4"/>
  <c r="O8" i="5"/>
  <c r="X34" i="4"/>
  <c r="AC12" i="3"/>
  <c r="AC9" i="3"/>
  <c r="O9" i="3"/>
  <c r="K24" i="4"/>
  <c r="AB34" i="4"/>
  <c r="G34" i="4"/>
  <c r="AM26" i="5"/>
  <c r="AM28" i="5" s="1"/>
  <c r="Q26" i="5"/>
  <c r="V26" i="5"/>
  <c r="V28" i="5" s="1"/>
  <c r="AE34" i="4"/>
  <c r="T34" i="4"/>
  <c r="C26" i="5" l="1"/>
  <c r="C28" i="5" s="1"/>
  <c r="C30" i="5" s="1"/>
  <c r="V35" i="4"/>
  <c r="V36" i="4" s="1"/>
  <c r="T35" i="4"/>
  <c r="T36" i="4" s="1"/>
  <c r="T37" i="4"/>
  <c r="K35" i="4"/>
  <c r="K36" i="4" s="1"/>
  <c r="K37" i="4"/>
  <c r="E35" i="4"/>
  <c r="E36" i="4" s="1"/>
  <c r="E37" i="4"/>
  <c r="F35" i="4"/>
  <c r="F36" i="4" s="1"/>
  <c r="F37" i="4"/>
  <c r="M35" i="4"/>
  <c r="M36" i="4" s="1"/>
  <c r="M37" i="4"/>
  <c r="Y35" i="4"/>
  <c r="Y36" i="4" s="1"/>
  <c r="Y37" i="4"/>
  <c r="L35" i="4"/>
  <c r="L36" i="4" s="1"/>
  <c r="L37" i="4"/>
  <c r="H35" i="4"/>
  <c r="H36" i="4" s="1"/>
  <c r="H37" i="4"/>
  <c r="N35" i="4"/>
  <c r="N36" i="4" s="1"/>
  <c r="N37" i="4"/>
  <c r="R35" i="4"/>
  <c r="R36" i="4" s="1"/>
  <c r="R37" i="4"/>
  <c r="AA37" i="4"/>
  <c r="X35" i="4"/>
  <c r="X36" i="4" s="1"/>
  <c r="X37" i="4"/>
  <c r="S35" i="4"/>
  <c r="S36" i="4" s="1"/>
  <c r="S37" i="4"/>
  <c r="W35" i="4"/>
  <c r="W36" i="4" s="1"/>
  <c r="W37" i="4"/>
  <c r="G35" i="4"/>
  <c r="G36" i="4" s="1"/>
  <c r="G37" i="4"/>
  <c r="AB35" i="4"/>
  <c r="AB36" i="4" s="1"/>
  <c r="AB37" i="4"/>
  <c r="U37" i="4"/>
  <c r="D36" i="4"/>
  <c r="I35" i="4"/>
  <c r="I36" i="4" s="1"/>
  <c r="I37" i="4"/>
  <c r="Z35" i="4"/>
  <c r="Z36" i="4" s="1"/>
  <c r="Z37" i="4"/>
  <c r="D37" i="4"/>
  <c r="J37" i="4"/>
  <c r="AE26" i="5"/>
  <c r="AE28" i="5" s="1"/>
  <c r="I28" i="5"/>
  <c r="E7" i="6"/>
  <c r="E13" i="6"/>
  <c r="O34" i="4"/>
  <c r="B14" i="6" s="1"/>
  <c r="C14" i="6" s="1"/>
  <c r="E16" i="6"/>
  <c r="E8" i="6"/>
  <c r="E9" i="6"/>
  <c r="AC34" i="4"/>
  <c r="D14" i="6" s="1"/>
  <c r="E14" i="6" s="1"/>
  <c r="C8" i="6"/>
  <c r="V7" i="3"/>
  <c r="V15" i="3" s="1"/>
  <c r="R7" i="3"/>
  <c r="R15" i="3" s="1"/>
  <c r="AN7" i="3"/>
  <c r="AN15" i="3" s="1"/>
  <c r="H7" i="3"/>
  <c r="H15" i="3" s="1"/>
  <c r="Y7" i="3"/>
  <c r="Y15" i="3" s="1"/>
  <c r="O15" i="4"/>
  <c r="B12" i="6" s="1"/>
  <c r="C12" i="6" s="1"/>
  <c r="C24" i="4"/>
  <c r="AQ24" i="4"/>
  <c r="AE35" i="4"/>
  <c r="G9" i="6"/>
  <c r="X7" i="3"/>
  <c r="X15" i="3" s="1"/>
  <c r="AJ7" i="3"/>
  <c r="AJ15" i="3" s="1"/>
  <c r="C7" i="3"/>
  <c r="O6" i="3"/>
  <c r="B21" i="6" s="1"/>
  <c r="Z7" i="3"/>
  <c r="Z15" i="3" s="1"/>
  <c r="AA7" i="3"/>
  <c r="AA15" i="3" s="1"/>
  <c r="W7" i="3"/>
  <c r="W15" i="3" s="1"/>
  <c r="L7" i="3"/>
  <c r="L15" i="3" s="1"/>
  <c r="AH7" i="3"/>
  <c r="AH15" i="3" s="1"/>
  <c r="AC16" i="5"/>
  <c r="AQ16" i="5"/>
  <c r="O16" i="5"/>
  <c r="G13" i="6"/>
  <c r="R28" i="5"/>
  <c r="M7" i="3"/>
  <c r="M15" i="3" s="1"/>
  <c r="T7" i="3"/>
  <c r="T15" i="3" s="1"/>
  <c r="AC26" i="5"/>
  <c r="O26" i="5"/>
  <c r="AQ12" i="5"/>
  <c r="S7" i="3"/>
  <c r="S15" i="3" s="1"/>
  <c r="AF7" i="3"/>
  <c r="AF15" i="3" s="1"/>
  <c r="AG7" i="3"/>
  <c r="AG15" i="3" s="1"/>
  <c r="AB7" i="3"/>
  <c r="AB15" i="3" s="1"/>
  <c r="Q28" i="5"/>
  <c r="AC12" i="5"/>
  <c r="G7" i="3"/>
  <c r="G15" i="3" s="1"/>
  <c r="I7" i="3"/>
  <c r="I15" i="3" s="1"/>
  <c r="E7" i="3"/>
  <c r="E15" i="3" s="1"/>
  <c r="F7" i="3"/>
  <c r="F15" i="3" s="1"/>
  <c r="AC6" i="3"/>
  <c r="D21" i="6" s="1"/>
  <c r="Q7" i="3"/>
  <c r="AL7" i="3"/>
  <c r="AL15" i="3" s="1"/>
  <c r="AQ34" i="4"/>
  <c r="F14" i="6" s="1"/>
  <c r="G14" i="6" s="1"/>
  <c r="C13" i="6"/>
  <c r="C16" i="6"/>
  <c r="C9" i="6"/>
  <c r="G7" i="6"/>
  <c r="AE7" i="3"/>
  <c r="AQ6" i="3"/>
  <c r="F21" i="6" s="1"/>
  <c r="AO7" i="3"/>
  <c r="AO15" i="3" s="1"/>
  <c r="N7" i="3"/>
  <c r="N15" i="3" s="1"/>
  <c r="AK7" i="3"/>
  <c r="AK15" i="3" s="1"/>
  <c r="J7" i="3"/>
  <c r="J15" i="3" s="1"/>
  <c r="AM7" i="3"/>
  <c r="AM15" i="3" s="1"/>
  <c r="K7" i="3"/>
  <c r="K15" i="3" s="1"/>
  <c r="AI7" i="3"/>
  <c r="AI15" i="3" s="1"/>
  <c r="AC15" i="4"/>
  <c r="D12" i="6" s="1"/>
  <c r="E12" i="6" s="1"/>
  <c r="Q24" i="4"/>
  <c r="D7" i="3"/>
  <c r="D15" i="3" s="1"/>
  <c r="U7" i="3"/>
  <c r="U15" i="3" s="1"/>
  <c r="AP7" i="3"/>
  <c r="AP15" i="3" s="1"/>
  <c r="AQ15" i="4"/>
  <c r="F12" i="6" s="1"/>
  <c r="G12" i="6" s="1"/>
  <c r="G16" i="6"/>
  <c r="D29" i="5" l="1"/>
  <c r="D30" i="5" s="1"/>
  <c r="Q37" i="4"/>
  <c r="Q35" i="4"/>
  <c r="Q36" i="4" s="1"/>
  <c r="C35" i="4"/>
  <c r="C36" i="4" s="1"/>
  <c r="C37" i="4"/>
  <c r="O37" i="4" s="1"/>
  <c r="AQ26" i="5"/>
  <c r="AE15" i="3"/>
  <c r="AQ15" i="3" s="1"/>
  <c r="F25" i="6" s="1"/>
  <c r="AQ7" i="3"/>
  <c r="F11" i="6"/>
  <c r="G11" i="6" s="1"/>
  <c r="AQ14" i="3"/>
  <c r="F23" i="6" s="1"/>
  <c r="Q15" i="3"/>
  <c r="AC15" i="3" s="1"/>
  <c r="D25" i="6" s="1"/>
  <c r="AC7" i="3"/>
  <c r="AC28" i="5"/>
  <c r="C15" i="3"/>
  <c r="O15" i="3" s="1"/>
  <c r="B25" i="6" s="1"/>
  <c r="O7" i="3"/>
  <c r="O24" i="4"/>
  <c r="AC14" i="3"/>
  <c r="D23" i="6" s="1"/>
  <c r="AC24" i="4"/>
  <c r="AQ28" i="5"/>
  <c r="O14" i="3"/>
  <c r="B23" i="6" s="1"/>
  <c r="AE36" i="4"/>
  <c r="AQ35" i="4"/>
  <c r="F15" i="6" s="1"/>
  <c r="G15" i="6" s="1"/>
  <c r="AQ36" i="4" l="1"/>
  <c r="F17" i="6" s="1"/>
  <c r="G17" i="6" s="1"/>
  <c r="AE37" i="4"/>
  <c r="AQ37" i="4" s="1"/>
  <c r="AC35" i="4"/>
  <c r="D15" i="6" s="1"/>
  <c r="E15" i="6" s="1"/>
  <c r="O35" i="4"/>
  <c r="B15" i="6" s="1"/>
  <c r="C15" i="6" s="1"/>
  <c r="D11" i="6"/>
  <c r="E11" i="6" s="1"/>
  <c r="E29" i="5"/>
  <c r="O28" i="5"/>
  <c r="B11" i="6"/>
  <c r="C11" i="6" s="1"/>
  <c r="AC36" i="4" l="1"/>
  <c r="D17" i="6" s="1"/>
  <c r="E17" i="6" s="1"/>
  <c r="AC37" i="4"/>
  <c r="F18" i="6"/>
  <c r="G18" i="6" s="1"/>
  <c r="O36" i="4"/>
  <c r="B17" i="6" s="1"/>
  <c r="C17" i="6" s="1"/>
  <c r="F29" i="5"/>
  <c r="E30" i="5"/>
  <c r="G29" i="5" l="1"/>
  <c r="F30" i="5"/>
  <c r="B18" i="6"/>
  <c r="C18" i="6" s="1"/>
  <c r="D18" i="6"/>
  <c r="E18" i="6" s="1"/>
  <c r="H29" i="5" l="1"/>
  <c r="G30" i="5"/>
  <c r="H30" i="5" l="1"/>
  <c r="I29" i="5"/>
  <c r="J29" i="5" l="1"/>
  <c r="I30" i="5"/>
  <c r="J30" i="5" l="1"/>
  <c r="K29" i="5"/>
  <c r="L29" i="5" l="1"/>
  <c r="K30" i="5"/>
  <c r="L30" i="5" l="1"/>
  <c r="M29" i="5"/>
  <c r="N29" i="5" l="1"/>
  <c r="M30" i="5"/>
  <c r="N30" i="5" l="1"/>
  <c r="Q29" i="5"/>
  <c r="O29" i="5"/>
  <c r="O30" i="5" l="1"/>
  <c r="R29" i="5"/>
  <c r="Q30" i="5"/>
  <c r="R30" i="5" l="1"/>
  <c r="S29" i="5"/>
  <c r="T29" i="5" l="1"/>
  <c r="S30" i="5"/>
  <c r="U29" i="5" l="1"/>
  <c r="T30" i="5"/>
  <c r="U30" i="5" l="1"/>
  <c r="V29" i="5"/>
  <c r="W29" i="5" l="1"/>
  <c r="V30" i="5"/>
  <c r="W30" i="5" l="1"/>
  <c r="X29" i="5"/>
  <c r="X30" i="5" l="1"/>
  <c r="Y29" i="5"/>
  <c r="Z29" i="5" l="1"/>
  <c r="Y30" i="5"/>
  <c r="AA29" i="5" l="1"/>
  <c r="Z30" i="5"/>
  <c r="AB29" i="5" l="1"/>
  <c r="AA30" i="5"/>
  <c r="AB30" i="5" l="1"/>
  <c r="AE29" i="5"/>
  <c r="AC29" i="5"/>
  <c r="AC30" i="5" l="1"/>
  <c r="AE30" i="5"/>
  <c r="AF29" i="5"/>
  <c r="AG29" i="5" l="1"/>
  <c r="AF30" i="5"/>
  <c r="AG30" i="5" l="1"/>
  <c r="AH29" i="5"/>
  <c r="AI29" i="5" l="1"/>
  <c r="AH30" i="5"/>
  <c r="AJ29" i="5" l="1"/>
  <c r="AI30" i="5"/>
  <c r="AK29" i="5" l="1"/>
  <c r="AJ30" i="5"/>
  <c r="AK30" i="5" l="1"/>
  <c r="AL29" i="5"/>
  <c r="AL30" i="5" l="1"/>
  <c r="AM29" i="5"/>
  <c r="AM30" i="5" l="1"/>
  <c r="AN29" i="5"/>
  <c r="AO29" i="5" l="1"/>
  <c r="AN30" i="5"/>
  <c r="AO30" i="5" l="1"/>
  <c r="AP29" i="5"/>
  <c r="AP30" i="5" l="1"/>
  <c r="AQ29" i="5"/>
  <c r="AQ30" i="5" l="1"/>
</calcChain>
</file>

<file path=xl/sharedStrings.xml><?xml version="1.0" encoding="utf-8"?>
<sst xmlns="http://schemas.openxmlformats.org/spreadsheetml/2006/main" count="469" uniqueCount="253">
  <si>
    <t>HOLDING MAROCAINE (SCI/SARL de gestion)</t>
  </si>
  <si>
    <t>SARL D'EXPLOITATION (Monte Cristo / Riad Al Baraka)</t>
  </si>
  <si>
    <t>Coût total projet (Holding)</t>
  </si>
  <si>
    <t>6,200,000 MAD</t>
  </si>
  <si>
    <t>Apport Holding (50%)</t>
  </si>
  <si>
    <t>3,100,000 MAD</t>
  </si>
  <si>
    <t>Mensualité emprunt</t>
  </si>
  <si>
    <t>CA héberg. An1 (yield mgmt)</t>
  </si>
  <si>
    <t>Taux d'occ. moyen An1</t>
  </si>
  <si>
    <t>① Hypothèses Communes</t>
  </si>
  <si>
    <t>Prix d'acquisition du riad (MAD)</t>
  </si>
  <si>
    <t>MAD</t>
  </si>
  <si>
    <t>Riad 8 ch. Médina Marrakech</t>
  </si>
  <si>
    <t>Travaux / rénovation</t>
  </si>
  <si>
    <t>Coût total projet</t>
  </si>
  <si>
    <t>Taux de change EUR/MAD</t>
  </si>
  <si>
    <t>EUR/MAD</t>
  </si>
  <si>
    <t>Coût total projet (EUR)</t>
  </si>
  <si>
    <t>EUR</t>
  </si>
  <si>
    <t>Apport Holding (%)</t>
  </si>
  <si>
    <t>%</t>
  </si>
  <si>
    <t>50% minimum recommandé Maroc</t>
  </si>
  <si>
    <t>Apport Holding (MAD)</t>
  </si>
  <si>
    <t>Montant emprunté (MAD)</t>
  </si>
  <si>
    <t>Taux d'intérêt annuel</t>
  </si>
  <si>
    <t>Durée du prêt (années)</t>
  </si>
  <si>
    <t>ans</t>
  </si>
  <si>
    <t>Mensualité emprunt Holding</t>
  </si>
  <si>
    <t>MAD/mois</t>
  </si>
  <si>
    <t>Annuité emprunt Holding</t>
  </si>
  <si>
    <t>MAD/an</t>
  </si>
  <si>
    <t>Total remboursé sur 20 ans</t>
  </si>
  <si>
    <t>Coût total du crédit</t>
  </si>
  <si>
    <t>Marge de sécurité sur mensualité (%)</t>
  </si>
  <si>
    <t>Surplus couvre frais gestion Holding + sécurité</t>
  </si>
  <si>
    <t>Loyer mensuel HT (Exploit. → Holding)</t>
  </si>
  <si>
    <t>Loyer annuel HT</t>
  </si>
  <si>
    <t>Surplus annuel Holding (après annuité)</t>
  </si>
  <si>
    <t>Nombre de chambres</t>
  </si>
  <si>
    <t>chambres</t>
  </si>
  <si>
    <t>Prix Haute Saison (≥80% TO)</t>
  </si>
  <si>
    <t>MAD/nuit</t>
  </si>
  <si>
    <t>Mois</t>
  </si>
  <si>
    <t>TO Année 1</t>
  </si>
  <si>
    <t>Saison</t>
  </si>
  <si>
    <t>Prix Yield (MAD/nuit)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</si>
  <si>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</si>
  <si>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</si>
  <si>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</si>
  <si>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</si>
  <si>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</si>
  <si>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</si>
  <si>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</si>
  <si>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</si>
  <si>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</si>
  <si>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</si>
  <si>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</si>
  <si>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</si>
  <si>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 annuel moyen An1</t>
  </si>
  <si>
    <t>Croissance TO Année 2 (vs An1)</t>
  </si>
  <si>
    <t>Croissance TO Année 3 (vs An1)</t>
  </si>
  <si>
    <t>Hausse des prix Yield An2</t>
  </si>
  <si>
    <t>Hausse des prix Yield An3</t>
  </si>
  <si>
    <t>Inflation charges An2 &amp; An3</t>
  </si>
  <si>
    <t>Augmentation salaires An2 &amp; An3</t>
  </si>
  <si>
    <t>Restauration (% CA hébergement)</t>
  </si>
  <si>
    <t>Petits-déj + dîners table d'hôtes</t>
  </si>
  <si>
    <t>Spa &amp; Hammam (% CA hébergement)</t>
  </si>
  <si>
    <t>Activités &amp; excursions (% CA héb.)</t>
  </si>
  <si>
    <t>Coût marchandises restauration (%)</t>
  </si>
  <si>
    <t>% CA restauration</t>
  </si>
  <si>
    <t>Assurances annuelles (MAD)</t>
  </si>
  <si>
    <t>Eau, électricité, gaz (MAD/mois)</t>
  </si>
  <si>
    <t>Entretien &amp; maintenance (MAD/an)</t>
  </si>
  <si>
    <t>Marketing &amp; communication (MAD/an)</t>
  </si>
  <si>
    <t>Fournitures &amp; linge (MAD/an)</t>
  </si>
  <si>
    <t>Autres charges externes (MAD/an)</t>
  </si>
  <si>
    <t>Impôts &amp; taxes locaux (MAD/an)</t>
  </si>
  <si>
    <t>Charges sociales dirigeant (%)</t>
  </si>
  <si>
    <t>Nombre d'employés</t>
  </si>
  <si>
    <t>personnes</t>
  </si>
  <si>
    <t>Réception, ménage, cuisine, service</t>
  </si>
  <si>
    <t>Salaire moyen mensuel brut employé</t>
  </si>
  <si>
    <t>Charges sociales employés (%)</t>
  </si>
  <si>
    <t>Mobilier &amp; décoration</t>
  </si>
  <si>
    <t>Matériel cuisine</t>
  </si>
  <si>
    <t>Informatique &amp; PMS</t>
  </si>
  <si>
    <t>Frais d'établissement</t>
  </si>
  <si>
    <t>Droits d'entrée / licence</t>
  </si>
  <si>
    <t>Total investissements SARL</t>
  </si>
  <si>
    <t>Apport SARL (MAD)</t>
  </si>
  <si>
    <t>Capital libéré</t>
  </si>
  <si>
    <t>Trésorerie initiale SARL</t>
  </si>
  <si>
    <t>Durée amort. mobilier (ans)</t>
  </si>
  <si>
    <t>Durée amort. matériel cuisine (ans)</t>
  </si>
  <si>
    <t>Durée amort. informatique (ans)</t>
  </si>
  <si>
    <t>Durée amort. incorporels (ans)</t>
  </si>
  <si>
    <t>Amortissement annuel SARL</t>
  </si>
  <si>
    <t>Durée amort. gros œuvre / murs (ans)</t>
  </si>
  <si>
    <t>Base amortissable Holding</t>
  </si>
  <si>
    <t>Amortissement annuel Holding</t>
  </si>
  <si>
    <t>La Holding détient les murs. Elle perçoit le loyer de la SARL d'exploitation et rembourse l'emprunt bancaire. Son résultat est la différence loyer − annuité − amortissement.</t>
  </si>
  <si>
    <t>LIBELLÉS</t>
  </si>
  <si>
    <t>Jan</t>
  </si>
  <si>
    <t>Fév</t>
  </si>
  <si>
    <t>Mar</t>
  </si>
  <si>
    <t>Avr</t>
  </si>
  <si>
    <t>Juil</t>
  </si>
  <si>
    <t>Sep</t>
  </si>
  <si>
    <t>Oct</t>
  </si>
  <si>
    <t>Nov</t>
  </si>
  <si>
    <t>Déc</t>
  </si>
  <si>
    <t>TOTAL</t>
  </si>
  <si>
    <t>Loyer perçu de la SARL d'exploitation</t>
  </si>
  <si>
    <t>TOTAL PRODUITS HOLDING</t>
  </si>
  <si>
    <t>Mensualité emprunt (capital + intérêts)</t>
  </si>
  <si>
    <t>Frais de gestion Holding (assur., admin.)</t>
  </si>
  <si>
    <t>Dotation aux amortissements (murs, gros œuvre)</t>
  </si>
  <si>
    <t>TOTAL CHARGES HOLDING</t>
  </si>
  <si>
    <t>RÉSULTAT NET HOLDING (avant IS)</t>
  </si>
  <si>
    <t xml:space="preserve">   CA Hébergement (yield management)</t>
  </si>
  <si>
    <t xml:space="preserve">   CA Restauration &amp; petits-déjeuners</t>
  </si>
  <si>
    <t xml:space="preserve">   CA Spa &amp; Hammam</t>
  </si>
  <si>
    <t xml:space="preserve">   CA Activités &amp; Excursions</t>
  </si>
  <si>
    <t xml:space="preserve">   CA Séminaires &amp; Événements [supprimé]</t>
  </si>
  <si>
    <t>TOTAL PRODUITS D'EXPLOITATION</t>
  </si>
  <si>
    <t xml:space="preserve">   Commissions OTA (Booking, Airbnb)</t>
  </si>
  <si>
    <t xml:space="preserve">   Achats marchandises restauration</t>
  </si>
  <si>
    <t xml:space="preserve">   Loyer versé à la Holding (bail commercial)</t>
  </si>
  <si>
    <t xml:space="preserve">   Assurances</t>
  </si>
  <si>
    <t xml:space="preserve">   Eau, électricité, gaz</t>
  </si>
  <si>
    <t xml:space="preserve">   Entretien &amp; maintenance</t>
  </si>
  <si>
    <t xml:space="preserve">   Marketing &amp; communication</t>
  </si>
  <si>
    <t xml:space="preserve">   Fournitures &amp; linge</t>
  </si>
  <si>
    <t xml:space="preserve">   Expert-comptable</t>
  </si>
  <si>
    <t xml:space="preserve">   Autres charges externes</t>
  </si>
  <si>
    <t xml:space="preserve">   Impôts &amp; taxes locaux</t>
  </si>
  <si>
    <t>TOTAL CHARGES EXTERNES</t>
  </si>
  <si>
    <t xml:space="preserve">   Salaires bruts employés</t>
  </si>
  <si>
    <t xml:space="preserve">   Charges sociales employés</t>
  </si>
  <si>
    <t xml:space="preserve">   Rémunération gérant</t>
  </si>
  <si>
    <t xml:space="preserve">   Charges sociales gérant</t>
  </si>
  <si>
    <t>TOTAL RÉMUNÉRATIONS</t>
  </si>
  <si>
    <t>Dotations aux amortissements SARL</t>
  </si>
  <si>
    <t>MARGE BRUTE</t>
  </si>
  <si>
    <t>EXCÉDENT BRUT D'EXPLOITATION (EBE)</t>
  </si>
  <si>
    <t>RÉSULTAT D'EXPLOITATION (REX)</t>
  </si>
  <si>
    <t>Les flux d'encaissement sont basés sur les CA du CR | Le loyer Holding est décaissé chaque mois | Mois 1 An1 : apport initial + investissements</t>
  </si>
  <si>
    <t xml:space="preserve">   Apport initial SARL + investissements (Mois 1)</t>
  </si>
  <si>
    <t>0</t>
  </si>
  <si>
    <t xml:space="preserve">   Recettes hébergement</t>
  </si>
  <si>
    <t xml:space="preserve">   Recettes restauration</t>
  </si>
  <si>
    <t xml:space="preserve">   Recettes spa &amp; hammam</t>
  </si>
  <si>
    <t xml:space="preserve">   Recettes activités &amp; excursions</t>
  </si>
  <si>
    <t xml:space="preserve">   CA Séminaires [supprimé]</t>
  </si>
  <si>
    <t>TOTAL ENCAISSEMENTS</t>
  </si>
  <si>
    <t xml:space="preserve">   Commissions OTA</t>
  </si>
  <si>
    <t xml:space="preserve">   Autres charges</t>
  </si>
  <si>
    <t xml:space="preserve">   Impôts &amp; taxes</t>
  </si>
  <si>
    <t xml:space="preserve">   Salaires &amp; charges sociales (employés + gérant)</t>
  </si>
  <si>
    <t>TOTAL DÉCAISSEMENTS</t>
  </si>
  <si>
    <t>SOLDE DU MOIS</t>
  </si>
  <si>
    <t>Solde précédent (report)</t>
  </si>
  <si>
    <t>SOLDE CUMULÉ DE TRÉSORERIE</t>
  </si>
  <si>
    <t>INDICATEUR</t>
  </si>
  <si>
    <t>AN1</t>
  </si>
  <si>
    <t>% CA</t>
  </si>
  <si>
    <t>AN2</t>
  </si>
  <si>
    <t>AN3</t>
  </si>
  <si>
    <t>CA TOTAL EXPLOITATION</t>
  </si>
  <si>
    <t xml:space="preserve">   CA Hébergement</t>
  </si>
  <si>
    <t xml:space="preserve">   CA Restauration</t>
  </si>
  <si>
    <t>Charges externes (dont loyer Holding)</t>
  </si>
  <si>
    <t>Rémunérations &amp; charges sociales</t>
  </si>
  <si>
    <t>RÉSULTAT NET EXPLOITATION (avant IS)</t>
  </si>
  <si>
    <t>Loyers perçus (produits Holding)</t>
  </si>
  <si>
    <t>Mensualité emprunt décaissée</t>
  </si>
  <si>
    <t>Surplus trésorerie Holding (loyer−mensualité)</t>
  </si>
  <si>
    <t>Amortissement murs (gros œuvre)</t>
  </si>
  <si>
    <t>RÉSULTAT NET HOLDING (comptable)</t>
  </si>
  <si>
    <t>② Holding CR Mensuel 3 ans</t>
  </si>
  <si>
    <t>③ Exploitation CR Mensuel 3 ans</t>
  </si>
  <si>
    <t>④ Exploitation Budget Trésorerie</t>
  </si>
  <si>
    <t>⑤ Consolidé SIG &amp; Rentabilité</t>
  </si>
  <si>
    <t xml:space="preserve"> Loue le riad à la société d'exploitation</t>
  </si>
  <si>
    <t xml:space="preserve"> Loyer = mensualité emprunt × 110%</t>
  </si>
  <si>
    <t xml:space="preserve"> Exploite le riad (hébergement, restauration, spa…)</t>
  </si>
  <si>
    <t xml:space="preserve"> Verse le loyer à la Holding chaque mois</t>
  </si>
  <si>
    <t xml:space="preserve"> Encaisse le CA et paie les charges d'exploitation</t>
  </si>
  <si>
    <t xml:space="preserve"> Résultat net soumis à l'IS Maroc (exo 5 ans possible)</t>
  </si>
  <si>
    <t xml:space="preserve"> Emprunte 3 100 000 MAD auprès de la banque</t>
  </si>
  <si>
    <t xml:space="preserve"> Détient les murs du riad (actif immobilier)</t>
  </si>
  <si>
    <t>STRUCTURE JURIDIQUE RETENUE</t>
  </si>
  <si>
    <t>CHIFFRES CLÉS DU MONTAGE</t>
  </si>
  <si>
    <t>Emprunt Holding 6% / 20 ans</t>
  </si>
  <si>
    <t>Loyer Holding --&gt; Exploit.</t>
  </si>
  <si>
    <t>22 209 MAD/mois</t>
  </si>
  <si>
    <t>24 430 MAD/mois (annuité ×110%)</t>
  </si>
  <si>
    <t>3 898 720 MAD</t>
  </si>
  <si>
    <t>BIEN IMMOBILIER (Holding)</t>
  </si>
  <si>
    <t>FINANCEMENT HOLDING (emprunt bancaire marocain)</t>
  </si>
  <si>
    <t>YIELD MANAGEMENT &amp; SAISONNALITÉ MARRAKECH (source : Outil 15)</t>
  </si>
  <si>
    <t>Benchmark riads Marrakech</t>
  </si>
  <si>
    <t xml:space="preserve">Banque Populaire </t>
  </si>
  <si>
    <t>LOYER INTER-SOCIÉTÉS (Holding -&gt; Exploitation)</t>
  </si>
  <si>
    <t>CROISSANCES ANNUELLES</t>
  </si>
  <si>
    <t>REVENUS ANNEXES (Exploitation)</t>
  </si>
  <si>
    <t>CHARGES EXPLOITATION (SARL)</t>
  </si>
  <si>
    <t>PERSONNEL EXPLOITATION</t>
  </si>
  <si>
    <t>INVESTISSEMENTS EXPLOITATION (SARL)</t>
  </si>
  <si>
    <t>Commissions OTA % CA hébergement</t>
  </si>
  <si>
    <t>Gérant/Directeur  salaire mensuel brut</t>
  </si>
  <si>
    <t>AMORTISSEMENTS (SARL)</t>
  </si>
  <si>
    <t>AMORTISSEMENTS (HOLDING)</t>
  </si>
  <si>
    <t>ANNÉE 1 2026</t>
  </si>
  <si>
    <t>ANNÉE 2 2027</t>
  </si>
  <si>
    <t>PRODUITS (loyers perçus de la SARL d'exploitation)</t>
  </si>
  <si>
    <t>CHARGES (remboursement emprunt + amortissements)</t>
  </si>
  <si>
    <t>RÉSULTATS</t>
  </si>
  <si>
    <t>Surplus trésorerie mensuel (loyer - mensualité)</t>
  </si>
  <si>
    <t>ANNÉE 3 2028</t>
  </si>
  <si>
    <t>ANNÉE 3  2028</t>
  </si>
  <si>
    <t>PRODUITS D'EXPLOITATION</t>
  </si>
  <si>
    <t>CHARGES D'EXPLOITATION</t>
  </si>
  <si>
    <t>RÉMUNÉRATIONS &amp; CHARGES SOCIALES</t>
  </si>
  <si>
    <t>DOTATIONS AUX AMORTISSEMENTS</t>
  </si>
  <si>
    <t xml:space="preserve">⚠  Exonération IS Maroc applicable pendant 5 ans pour la partie du CA en devises = pour ce cas intégralité du CA en devises étrangères donc pas d'IS </t>
  </si>
  <si>
    <t>RÉSULTAT NET (exonération IS 5 ans)</t>
  </si>
  <si>
    <t>TABLEAU SAISONNALITÉ Taux d'occupation &amp; Prix Yield (Année 1)</t>
  </si>
  <si>
    <t>Prix Moyenne Saison (51-79%)</t>
  </si>
  <si>
    <t>Prix Basse Saison (&lt;=50%)</t>
  </si>
  <si>
    <t>BUDGET PRÉVISIONNEL DE TRÉSORERIE EXPLOITATION SARL RIAD DU MEMOIRE (MAD HT)</t>
  </si>
  <si>
    <t>COMPTE DE RÉSULTAT PRÉVISIONNEL EXPLOITATION (SARL)  RIAD DU MEMOIRE (MAD HT)</t>
  </si>
  <si>
    <t>COMPTE DE RÉSULTAT PRÉVISIONNEL HOLDING RIAD DU MÉMOIRE (MAD HT)</t>
  </si>
  <si>
    <t>HYPOTHÈSES COMMUNES RIAD DU MEMOIRE (MAD) HOLDING + EXPLOITATION</t>
  </si>
  <si>
    <t>ANNÉE 1  2026</t>
  </si>
  <si>
    <t>ANNÉE 2  2027</t>
  </si>
  <si>
    <t xml:space="preserve">   Loyer versé à la Holding </t>
  </si>
  <si>
    <t>DÉCAISSEMENTS</t>
  </si>
  <si>
    <t>ENCAISSEMENTS</t>
  </si>
  <si>
    <t>SOLDES DE TRÉSORERIE</t>
  </si>
  <si>
    <t>EXPLOITATION SARL</t>
  </si>
  <si>
    <t xml:space="preserve">      = dont Loyer Holding</t>
  </si>
  <si>
    <t>HOLDING Compte de résultat synthétique</t>
  </si>
  <si>
    <t>Honoraires divers (MAD/an)</t>
  </si>
  <si>
    <t>CONSOLIDÉ  SOLDES INTERMÉDIAIRES DE GESTION &amp; RENTABILITÉ RIAD DU MÉMOIRE</t>
  </si>
  <si>
    <t>ÉTUDE FINANCIÈRE PRÉVISIONNELLE SUR 3 ANS EN MAD
RIAD DU MÉMOIRE - Médina de Marrakech
STRUCTURE : HOLDING + EXPLOITATION</t>
  </si>
  <si>
    <t>ONGLETS</t>
  </si>
  <si>
    <t>Rémunération du directeur</t>
  </si>
  <si>
    <t xml:space="preserve">Loyer Holding : couvre 100% mensualité emprunt (6% / 20 ans) + marge sécurité 15% </t>
  </si>
  <si>
    <t>Frais d'acquisition (notaire + droits d'enregistrement etc.)</t>
  </si>
  <si>
    <t>Airbnb ~16%</t>
  </si>
  <si>
    <t xml:space="preserve">Compte courant associé personne physique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</si>
</sst>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* #,##0.00_)\ &quot;€&quot;_ ;_ * \(#,##0.00\)\ &quot;€&quot;_ ;_ * &quot;-&quot;??_)\ &quot;€&quot;_ ;_ @_ "/>
    <numFmt numFmtId="164" formatCode="0.0%"/>
    <numFmt numFmtId="165" formatCode="#,##0;\(#,##0\);\-"/>
  </numFmts>
  <fonts count="3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color rgb="FF2E7D72"/>
      <name val="Arial"/>
      <family val="2"/>
    </font>
    <font>
      <b/>
      <sz val="10"/>
      <color rgb="FFC9A84C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0000FF"/>
      <name val="Arial"/>
      <family val="2"/>
    </font>
    <font>
      <i/>
      <sz val="9"/>
      <color rgb="FF666666"/>
      <name val="Arial"/>
      <family val="2"/>
    </font>
    <font>
      <i/>
      <sz val="10"/>
      <color rgb="FF000000"/>
      <name val="Arial"/>
      <family val="2"/>
    </font>
    <font>
      <b/>
      <sz val="10"/>
      <color rgb="FF1A3A5C"/>
      <name val="Arial"/>
      <family val="2"/>
    </font>
    <font>
      <i/>
      <sz val="9"/>
      <color rgb="FFAAAAAA"/>
      <name val="Arial"/>
      <family val="2"/>
    </font>
    <font>
      <i/>
      <sz val="9"/>
      <color rgb="FFB5522B"/>
      <name val="Arial"/>
      <family val="2"/>
    </font>
    <font>
      <b/>
      <sz val="11"/>
      <color rgb="FF1A3A5C"/>
      <name val="Arial"/>
      <family val="2"/>
    </font>
    <font>
      <b/>
      <sz val="9"/>
      <color rgb="FF1A3A5C"/>
      <name val="Arial"/>
      <family val="2"/>
    </font>
    <font>
      <b/>
      <sz val="10"/>
      <color rgb="FF2E7D72"/>
      <name val="Arial"/>
      <family val="2"/>
    </font>
    <font>
      <b/>
      <sz val="10"/>
      <color rgb="FFB5522B"/>
      <name val="Arial"/>
      <family val="2"/>
    </font>
    <font>
      <b/>
      <sz val="10"/>
      <color rgb="FF006600"/>
      <name val="Arial"/>
      <family val="2"/>
    </font>
    <font>
      <i/>
      <sz val="9"/>
      <color rgb="FF000000"/>
      <name val="Arial"/>
      <family val="2"/>
    </font>
    <font>
      <b/>
      <i/>
      <sz val="10"/>
      <color rgb="FF000000"/>
      <name val="Arial"/>
      <family val="2"/>
    </font>
    <font>
      <sz val="9"/>
      <color rgb="FF666666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rgb="FFB5522B"/>
      <name val="Arial"/>
      <family val="2"/>
    </font>
    <font>
      <b/>
      <sz val="10"/>
      <color theme="0"/>
      <name val="Arial"/>
      <family val="2"/>
    </font>
    <font>
      <b/>
      <i/>
      <sz val="10"/>
      <color rgb="FFB5522B"/>
      <name val="Arial"/>
      <family val="2"/>
    </font>
    <font>
      <sz val="11"/>
      <color rgb="FF2E7D72"/>
      <name val="Arial"/>
      <family val="2"/>
    </font>
    <font>
      <b/>
      <sz val="9"/>
      <color theme="0"/>
      <name val="Arial"/>
      <family val="2"/>
    </font>
    <font>
      <b/>
      <sz val="13"/>
      <color theme="0"/>
      <name val="Arial"/>
      <family val="2"/>
    </font>
    <font>
      <b/>
      <sz val="15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DF6E3"/>
        <bgColor rgb="FFF2F2F2"/>
      </patternFill>
    </fill>
    <fill>
      <patternFill patternType="solid">
        <fgColor rgb="FF1A3A5C"/>
        <bgColor rgb="FF333333"/>
      </patternFill>
    </fill>
    <fill>
      <patternFill patternType="solid">
        <fgColor rgb="FFD6E4F0"/>
        <bgColor rgb="FFD0EDEA"/>
      </patternFill>
    </fill>
    <fill>
      <patternFill patternType="solid">
        <fgColor rgb="FF2E7D72"/>
        <bgColor rgb="FF008080"/>
      </patternFill>
    </fill>
    <fill>
      <patternFill patternType="solid">
        <fgColor rgb="FFD0EDEA"/>
        <bgColor rgb="FFD6EDD6"/>
      </patternFill>
    </fill>
    <fill>
      <patternFill patternType="solid">
        <fgColor rgb="FFF5E6C0"/>
        <bgColor rgb="FFFDEBD0"/>
      </patternFill>
    </fill>
    <fill>
      <patternFill patternType="solid">
        <fgColor rgb="FFEAF4FB"/>
        <bgColor rgb="FFF2F2F2"/>
      </patternFill>
    </fill>
    <fill>
      <patternFill patternType="solid">
        <fgColor rgb="FFF2F2F2"/>
        <bgColor rgb="FFEAF4FB"/>
      </patternFill>
    </fill>
    <fill>
      <patternFill patternType="solid">
        <fgColor rgb="FFF9DFD6"/>
        <bgColor rgb="FFF5E6C0"/>
      </patternFill>
    </fill>
    <fill>
      <patternFill patternType="solid">
        <fgColor rgb="FFB5522B"/>
        <bgColor rgb="FF993366"/>
      </patternFill>
    </fill>
    <fill>
      <patternFill patternType="solid">
        <fgColor rgb="FFC9A84C"/>
        <bgColor rgb="FFAAAAAA"/>
      </patternFill>
    </fill>
    <fill>
      <patternFill patternType="solid">
        <fgColor rgb="FFD6EDD6"/>
        <bgColor rgb="FFD0EDEA"/>
      </patternFill>
    </fill>
    <fill>
      <patternFill patternType="solid">
        <fgColor rgb="FFFDEBD0"/>
        <bgColor rgb="FFF5E6C0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/>
      <bottom style="thin">
        <color rgb="FFCCCCCC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113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2" fillId="2" borderId="0" xfId="0" applyFont="1" applyFill="1" applyAlignment="1"/>
    <xf numFmtId="0" fontId="6" fillId="7" borderId="2" xfId="0" applyFont="1" applyFill="1" applyBorder="1" applyAlignment="1"/>
    <xf numFmtId="0" fontId="4" fillId="2" borderId="2" xfId="0" applyFont="1" applyFill="1" applyBorder="1" applyAlignment="1">
      <alignment horizontal="left" vertical="center"/>
    </xf>
    <xf numFmtId="3" fontId="8" fillId="8" borderId="3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/>
    <xf numFmtId="0" fontId="10" fillId="9" borderId="2" xfId="0" applyFont="1" applyFill="1" applyBorder="1" applyAlignment="1">
      <alignment horizontal="left" vertical="center"/>
    </xf>
    <xf numFmtId="3" fontId="4" fillId="9" borderId="2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/>
    <xf numFmtId="0" fontId="8" fillId="8" borderId="3" xfId="0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>
      <alignment horizontal="center" vertical="center"/>
    </xf>
    <xf numFmtId="164" fontId="8" fillId="8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/>
    <xf numFmtId="9" fontId="8" fillId="8" borderId="3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/>
    <xf numFmtId="0" fontId="6" fillId="6" borderId="2" xfId="0" applyFont="1" applyFill="1" applyBorder="1" applyAlignment="1"/>
    <xf numFmtId="164" fontId="6" fillId="6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3" fillId="3" borderId="0" xfId="0" applyFont="1" applyFill="1" applyAlignment="1"/>
    <xf numFmtId="0" fontId="15" fillId="6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165" fontId="11" fillId="6" borderId="2" xfId="0" applyNumberFormat="1" applyFont="1" applyFill="1" applyBorder="1" applyAlignment="1">
      <alignment horizontal="right" vertical="center"/>
    </xf>
    <xf numFmtId="165" fontId="11" fillId="7" borderId="3" xfId="0" applyNumberFormat="1" applyFont="1" applyFill="1" applyBorder="1" applyAlignment="1">
      <alignment horizontal="right" vertical="center"/>
    </xf>
    <xf numFmtId="0" fontId="16" fillId="6" borderId="2" xfId="0" applyFont="1" applyFill="1" applyBorder="1" applyAlignment="1">
      <alignment horizontal="left" vertical="center"/>
    </xf>
    <xf numFmtId="165" fontId="16" fillId="6" borderId="2" xfId="0" applyNumberFormat="1" applyFont="1" applyFill="1" applyBorder="1" applyAlignment="1">
      <alignment horizontal="right" vertical="center"/>
    </xf>
    <xf numFmtId="165" fontId="16" fillId="7" borderId="3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left" vertical="center"/>
    </xf>
    <xf numFmtId="165" fontId="4" fillId="2" borderId="2" xfId="0" applyNumberFormat="1" applyFont="1" applyFill="1" applyBorder="1" applyAlignment="1">
      <alignment horizontal="right" vertical="center"/>
    </xf>
    <xf numFmtId="165" fontId="6" fillId="2" borderId="3" xfId="0" applyNumberFormat="1" applyFont="1" applyFill="1" applyBorder="1" applyAlignment="1">
      <alignment horizontal="right" vertical="center"/>
    </xf>
    <xf numFmtId="0" fontId="17" fillId="10" borderId="2" xfId="0" applyFont="1" applyFill="1" applyBorder="1" applyAlignment="1">
      <alignment horizontal="left" vertical="center"/>
    </xf>
    <xf numFmtId="165" fontId="17" fillId="10" borderId="2" xfId="0" applyNumberFormat="1" applyFont="1" applyFill="1" applyBorder="1" applyAlignment="1">
      <alignment horizontal="right" vertical="center"/>
    </xf>
    <xf numFmtId="165" fontId="17" fillId="7" borderId="3" xfId="0" applyNumberFormat="1" applyFont="1" applyFill="1" applyBorder="1" applyAlignment="1">
      <alignment horizontal="right" vertical="center"/>
    </xf>
    <xf numFmtId="0" fontId="18" fillId="13" borderId="2" xfId="0" applyFont="1" applyFill="1" applyBorder="1" applyAlignment="1">
      <alignment horizontal="left" vertical="center"/>
    </xf>
    <xf numFmtId="165" fontId="18" fillId="13" borderId="2" xfId="0" applyNumberFormat="1" applyFont="1" applyFill="1" applyBorder="1" applyAlignment="1">
      <alignment horizontal="right" vertical="center"/>
    </xf>
    <xf numFmtId="165" fontId="18" fillId="7" borderId="3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165" fontId="6" fillId="2" borderId="3" xfId="0" applyNumberFormat="1" applyFont="1" applyFill="1" applyBorder="1" applyAlignment="1">
      <alignment horizontal="right" vertical="center"/>
    </xf>
    <xf numFmtId="0" fontId="20" fillId="14" borderId="2" xfId="0" applyFont="1" applyFill="1" applyBorder="1" applyAlignment="1">
      <alignment horizontal="left" vertical="center"/>
    </xf>
    <xf numFmtId="165" fontId="6" fillId="14" borderId="2" xfId="0" applyNumberFormat="1" applyFont="1" applyFill="1" applyBorder="1" applyAlignment="1">
      <alignment horizontal="right" vertical="center"/>
    </xf>
    <xf numFmtId="165" fontId="6" fillId="14" borderId="3" xfId="0" applyNumberFormat="1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left" vertical="center"/>
    </xf>
    <xf numFmtId="165" fontId="11" fillId="4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/>
    </xf>
    <xf numFmtId="165" fontId="6" fillId="7" borderId="2" xfId="0" applyNumberFormat="1" applyFont="1" applyFill="1" applyBorder="1" applyAlignment="1">
      <alignment horizontal="right" vertical="center"/>
    </xf>
    <xf numFmtId="165" fontId="6" fillId="7" borderId="3" xfId="0" applyNumberFormat="1" applyFont="1" applyFill="1" applyBorder="1" applyAlignment="1">
      <alignment horizontal="right" vertical="center"/>
    </xf>
    <xf numFmtId="165" fontId="16" fillId="6" borderId="3" xfId="0" applyNumberFormat="1" applyFont="1" applyFill="1" applyBorder="1" applyAlignment="1">
      <alignment horizontal="right" vertical="center"/>
    </xf>
    <xf numFmtId="165" fontId="11" fillId="6" borderId="3" xfId="0" applyNumberFormat="1" applyFont="1" applyFill="1" applyBorder="1" applyAlignment="1">
      <alignment horizontal="right" vertical="center"/>
    </xf>
    <xf numFmtId="0" fontId="10" fillId="4" borderId="2" xfId="0" applyFont="1" applyFill="1" applyBorder="1" applyAlignment="1">
      <alignment horizontal="left" vertical="center"/>
    </xf>
    <xf numFmtId="165" fontId="4" fillId="4" borderId="2" xfId="0" applyNumberFormat="1" applyFont="1" applyFill="1" applyBorder="1" applyAlignment="1">
      <alignment horizontal="right" vertical="center"/>
    </xf>
    <xf numFmtId="165" fontId="6" fillId="4" borderId="3" xfId="0" applyNumberFormat="1" applyFont="1" applyFill="1" applyBorder="1" applyAlignment="1">
      <alignment horizontal="right" vertical="center"/>
    </xf>
    <xf numFmtId="165" fontId="10" fillId="9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0" fillId="6" borderId="2" xfId="0" applyFill="1" applyBorder="1" applyAlignment="1"/>
    <xf numFmtId="164" fontId="21" fillId="2" borderId="2" xfId="0" applyNumberFormat="1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left" vertical="center"/>
    </xf>
    <xf numFmtId="165" fontId="4" fillId="14" borderId="2" xfId="0" applyNumberFormat="1" applyFont="1" applyFill="1" applyBorder="1" applyAlignment="1">
      <alignment horizontal="right" vertical="center"/>
    </xf>
    <xf numFmtId="164" fontId="21" fillId="14" borderId="2" xfId="0" applyNumberFormat="1" applyFont="1" applyFill="1" applyBorder="1" applyAlignment="1">
      <alignment horizontal="center" vertical="center"/>
    </xf>
    <xf numFmtId="164" fontId="21" fillId="6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/>
    <xf numFmtId="0" fontId="0" fillId="13" borderId="2" xfId="0" applyFill="1" applyBorder="1" applyAlignment="1"/>
    <xf numFmtId="0" fontId="6" fillId="10" borderId="2" xfId="0" applyFont="1" applyFill="1" applyBorder="1" applyAlignment="1">
      <alignment horizontal="left" vertical="center"/>
    </xf>
    <xf numFmtId="165" fontId="6" fillId="10" borderId="2" xfId="0" applyNumberFormat="1" applyFont="1" applyFill="1" applyBorder="1" applyAlignment="1">
      <alignment horizontal="right" vertical="center"/>
    </xf>
    <xf numFmtId="0" fontId="0" fillId="10" borderId="2" xfId="0" applyFill="1" applyBorder="1" applyAlignment="1"/>
    <xf numFmtId="0" fontId="0" fillId="0" borderId="0" xfId="0" applyFill="1" applyAlignment="1"/>
    <xf numFmtId="0" fontId="0" fillId="0" borderId="0" xfId="0" applyFill="1"/>
    <xf numFmtId="44" fontId="23" fillId="0" borderId="2" xfId="1" applyFont="1" applyBorder="1" applyAlignment="1">
      <alignment horizontal="center" vertical="center"/>
    </xf>
    <xf numFmtId="0" fontId="24" fillId="2" borderId="2" xfId="0" applyFont="1" applyFill="1" applyBorder="1" applyAlignment="1"/>
    <xf numFmtId="0" fontId="0" fillId="2" borderId="0" xfId="0" applyFont="1" applyFill="1" applyAlignment="1"/>
    <xf numFmtId="3" fontId="25" fillId="7" borderId="2" xfId="0" applyNumberFormat="1" applyFont="1" applyFill="1" applyBorder="1" applyAlignment="1"/>
    <xf numFmtId="0" fontId="0" fillId="0" borderId="0" xfId="0" applyFont="1" applyAlignment="1"/>
    <xf numFmtId="0" fontId="24" fillId="2" borderId="2" xfId="0" quotePrefix="1" applyFont="1" applyFill="1" applyBorder="1" applyAlignment="1"/>
    <xf numFmtId="0" fontId="4" fillId="2" borderId="2" xfId="0" applyNumberFormat="1" applyFont="1" applyFill="1" applyBorder="1" applyAlignment="1">
      <alignment horizontal="right" vertical="center"/>
    </xf>
    <xf numFmtId="9" fontId="1" fillId="0" borderId="0" xfId="2" applyAlignment="1"/>
    <xf numFmtId="165" fontId="0" fillId="2" borderId="0" xfId="0" applyNumberFormat="1" applyFill="1" applyAlignment="1"/>
    <xf numFmtId="0" fontId="29" fillId="7" borderId="2" xfId="0" applyFont="1" applyFill="1" applyBorder="1" applyAlignment="1"/>
    <xf numFmtId="10" fontId="29" fillId="7" borderId="2" xfId="0" applyNumberFormat="1" applyFont="1" applyFill="1" applyBorder="1" applyAlignment="1">
      <alignment horizontal="left"/>
    </xf>
    <xf numFmtId="0" fontId="30" fillId="3" borderId="2" xfId="0" applyFont="1" applyFill="1" applyBorder="1" applyAlignment="1">
      <alignment horizontal="center" vertical="center"/>
    </xf>
    <xf numFmtId="0" fontId="32" fillId="3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/>
    <xf numFmtId="0" fontId="22" fillId="6" borderId="1" xfId="0" applyFont="1" applyFill="1" applyBorder="1" applyAlignment="1"/>
    <xf numFmtId="0" fontId="31" fillId="3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left" vertical="center"/>
    </xf>
    <xf numFmtId="0" fontId="11" fillId="7" borderId="0" xfId="0" applyFont="1" applyFill="1" applyBorder="1" applyAlignment="1">
      <alignment horizontal="center" vertical="center"/>
    </xf>
    <xf numFmtId="0" fontId="13" fillId="10" borderId="0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  <xf numFmtId="0" fontId="14" fillId="12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/>
    </xf>
    <xf numFmtId="0" fontId="5" fillId="11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27" fillId="12" borderId="0" xfId="0" applyFont="1" applyFill="1" applyBorder="1" applyAlignment="1">
      <alignment horizontal="left" vertical="center"/>
    </xf>
    <xf numFmtId="0" fontId="27" fillId="5" borderId="0" xfId="0" applyFont="1" applyFill="1" applyBorder="1" applyAlignment="1">
      <alignment horizontal="left" vertical="center"/>
    </xf>
    <xf numFmtId="0" fontId="26" fillId="7" borderId="0" xfId="0" applyFont="1" applyFill="1" applyBorder="1" applyAlignment="1">
      <alignment horizontal="left" vertical="center"/>
    </xf>
    <xf numFmtId="0" fontId="19" fillId="7" borderId="0" xfId="0" applyFont="1" applyFill="1" applyBorder="1" applyAlignment="1">
      <alignment horizontal="center" vertical="center" wrapText="1"/>
    </xf>
    <xf numFmtId="0" fontId="27" fillId="3" borderId="0" xfId="0" applyFont="1" applyFill="1" applyBorder="1" applyAlignment="1">
      <alignment horizontal="left" vertical="center"/>
    </xf>
    <xf numFmtId="0" fontId="19" fillId="7" borderId="0" xfId="0" applyFont="1" applyFill="1" applyBorder="1" applyAlignment="1">
      <alignment horizontal="center" vertical="center"/>
    </xf>
    <xf numFmtId="0" fontId="28" fillId="10" borderId="0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left"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DF6E3"/>
      <rgbColor rgb="FFD0EDE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D6EDD6"/>
      <rgbColor rgb="FFF5E6C0"/>
      <rgbColor rgb="FFF2F2F2"/>
      <rgbColor rgb="FFFDEBD0"/>
      <rgbColor rgb="FFCC99FF"/>
      <rgbColor rgb="FFF9DFD6"/>
      <rgbColor rgb="FF3366FF"/>
      <rgbColor rgb="FF33CCCC"/>
      <rgbColor rgb="FF99CC00"/>
      <rgbColor rgb="FFFFCC00"/>
      <rgbColor rgb="FFC9A84C"/>
      <rgbColor rgb="FFFF6600"/>
      <rgbColor rgb="FF666666"/>
      <rgbColor rgb="FFAAAAAA"/>
      <rgbColor rgb="FF1A3A5C"/>
      <rgbColor rgb="FF2E7D72"/>
      <rgbColor rgb="FF003300"/>
      <rgbColor rgb="FF333300"/>
      <rgbColor rgb="FFB552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  <pageSetUpPr fitToPage="1"/>
  </sheetPr>
  <dimension ref="A1:G50"/>
  <sheetViews>
    <sheetView zoomScaleNormal="100" workbookViewId="0">
      <selection activeCell="E43" sqref="E43"/>
    </sheetView>
  </sheetViews>
  <sheetFormatPr baseColWidth="10" defaultColWidth="8.6640625" defaultRowHeight="15" x14ac:dyDescent="0.2"/>
  <cols>
    <col min="1" max="1" width="4" style="1" customWidth="1"/>
    <col min="2" max="2" width="46" style="1" customWidth="1"/>
    <col min="3" max="3" width="30" style="1" customWidth="1"/>
    <col min="4" max="4" width="6.1640625" customWidth="1"/>
    <col min="5" max="7" width="8.6640625" style="74"/>
  </cols>
  <sheetData>
    <row r="1" spans="1:7" ht="15" customHeight="1" x14ac:dyDescent="0.2">
      <c r="A1" s="2"/>
      <c r="B1" s="2"/>
      <c r="C1" s="2"/>
      <c r="D1" s="2"/>
      <c r="E1" s="73"/>
      <c r="F1" s="73"/>
      <c r="G1" s="73"/>
    </row>
    <row r="2" spans="1:7" ht="139.5" customHeight="1" x14ac:dyDescent="0.2">
      <c r="A2" s="2"/>
      <c r="B2" s="87" t="s">
        <v>246</v>
      </c>
      <c r="C2" s="87"/>
      <c r="D2" s="2"/>
      <c r="E2" s="73"/>
      <c r="F2" s="73"/>
      <c r="G2" s="73"/>
    </row>
    <row r="3" spans="1:7" ht="15" customHeight="1" x14ac:dyDescent="0.2">
      <c r="A3" s="2"/>
      <c r="B3" s="87"/>
      <c r="C3" s="87"/>
      <c r="D3" s="2"/>
      <c r="E3" s="73"/>
      <c r="F3" s="73"/>
      <c r="G3" s="73"/>
    </row>
    <row r="4" spans="1:7" ht="15" customHeight="1" x14ac:dyDescent="0.2">
      <c r="A4" s="2"/>
      <c r="B4" s="87"/>
      <c r="C4" s="87"/>
      <c r="D4" s="2"/>
      <c r="E4" s="73"/>
      <c r="F4" s="73"/>
      <c r="G4" s="73"/>
    </row>
    <row r="5" spans="1:7" ht="15" customHeight="1" x14ac:dyDescent="0.2">
      <c r="A5" s="2"/>
      <c r="B5" s="87"/>
      <c r="C5" s="87"/>
      <c r="D5" s="2"/>
      <c r="E5" s="73"/>
      <c r="F5" s="73"/>
      <c r="G5" s="73"/>
    </row>
    <row r="6" spans="1:7" ht="15" customHeight="1" x14ac:dyDescent="0.2">
      <c r="A6" s="2"/>
      <c r="B6" s="2"/>
      <c r="C6" s="2"/>
      <c r="D6" s="2"/>
      <c r="E6" s="73"/>
      <c r="F6" s="73"/>
      <c r="G6" s="73"/>
    </row>
    <row r="7" spans="1:7" ht="15" customHeight="1" x14ac:dyDescent="0.2">
      <c r="A7" s="2"/>
      <c r="B7" s="3" t="s">
        <v>192</v>
      </c>
      <c r="C7" s="2"/>
      <c r="D7" s="2"/>
      <c r="E7" s="73"/>
      <c r="F7" s="73"/>
      <c r="G7" s="73"/>
    </row>
    <row r="8" spans="1:7" ht="15.75" customHeight="1" x14ac:dyDescent="0.2">
      <c r="A8" s="2"/>
      <c r="B8" s="88" t="s">
        <v>0</v>
      </c>
      <c r="C8" s="88"/>
      <c r="D8" s="2"/>
      <c r="E8" s="73"/>
      <c r="F8" s="73"/>
      <c r="G8" s="73"/>
    </row>
    <row r="9" spans="1:7" ht="15.75" customHeight="1" x14ac:dyDescent="0.2">
      <c r="A9" s="2"/>
      <c r="B9" s="89" t="s">
        <v>191</v>
      </c>
      <c r="C9" s="89"/>
      <c r="D9" s="2"/>
      <c r="E9" s="73"/>
      <c r="F9" s="73"/>
      <c r="G9" s="73"/>
    </row>
    <row r="10" spans="1:7" ht="15.75" customHeight="1" x14ac:dyDescent="0.2">
      <c r="A10" s="2"/>
      <c r="B10" s="89" t="s">
        <v>190</v>
      </c>
      <c r="C10" s="89"/>
      <c r="D10" s="2"/>
      <c r="E10" s="73"/>
      <c r="F10" s="73"/>
      <c r="G10" s="73"/>
    </row>
    <row r="11" spans="1:7" ht="15.75" customHeight="1" x14ac:dyDescent="0.2">
      <c r="A11" s="2"/>
      <c r="B11" s="89" t="s">
        <v>184</v>
      </c>
      <c r="C11" s="89"/>
      <c r="D11" s="2"/>
      <c r="E11" s="73"/>
      <c r="F11" s="73"/>
      <c r="G11" s="73"/>
    </row>
    <row r="12" spans="1:7" ht="15.75" customHeight="1" x14ac:dyDescent="0.2">
      <c r="A12" s="2"/>
      <c r="B12" s="89" t="s">
        <v>185</v>
      </c>
      <c r="C12" s="89"/>
      <c r="D12" s="2"/>
      <c r="E12" s="73"/>
      <c r="F12" s="73"/>
      <c r="G12" s="73"/>
    </row>
    <row r="13" spans="1:7" ht="15.75" customHeight="1" x14ac:dyDescent="0.2">
      <c r="A13" s="2"/>
      <c r="B13" s="90"/>
      <c r="C13" s="90"/>
      <c r="D13" s="2"/>
      <c r="E13" s="73"/>
      <c r="F13" s="73"/>
      <c r="G13" s="73"/>
    </row>
    <row r="14" spans="1:7" ht="15.75" customHeight="1" x14ac:dyDescent="0.2">
      <c r="A14" s="2"/>
      <c r="B14" s="91" t="s">
        <v>1</v>
      </c>
      <c r="C14" s="91"/>
      <c r="D14" s="2"/>
      <c r="E14" s="73"/>
      <c r="F14" s="73"/>
      <c r="G14" s="73"/>
    </row>
    <row r="15" spans="1:7" ht="15.75" customHeight="1" x14ac:dyDescent="0.2">
      <c r="A15" s="2"/>
      <c r="B15" s="92" t="s">
        <v>186</v>
      </c>
      <c r="C15" s="92"/>
      <c r="D15" s="2"/>
      <c r="E15" s="73"/>
      <c r="F15" s="73"/>
      <c r="G15" s="73"/>
    </row>
    <row r="16" spans="1:7" ht="15.75" customHeight="1" x14ac:dyDescent="0.2">
      <c r="A16" s="2"/>
      <c r="B16" s="92" t="s">
        <v>187</v>
      </c>
      <c r="C16" s="92"/>
      <c r="D16" s="2"/>
      <c r="E16" s="73"/>
      <c r="F16" s="73"/>
      <c r="G16" s="73"/>
    </row>
    <row r="17" spans="1:7" ht="15.75" customHeight="1" x14ac:dyDescent="0.2">
      <c r="A17" s="2"/>
      <c r="B17" s="92" t="s">
        <v>188</v>
      </c>
      <c r="C17" s="92"/>
      <c r="D17" s="2"/>
      <c r="E17" s="73"/>
      <c r="F17" s="73"/>
      <c r="G17" s="73"/>
    </row>
    <row r="18" spans="1:7" ht="15.75" customHeight="1" x14ac:dyDescent="0.2">
      <c r="A18" s="2"/>
      <c r="B18" s="92" t="s">
        <v>189</v>
      </c>
      <c r="C18" s="92"/>
      <c r="D18" s="2"/>
      <c r="E18" s="73"/>
      <c r="F18" s="73"/>
      <c r="G18" s="73"/>
    </row>
    <row r="19" spans="1:7" ht="15" customHeight="1" x14ac:dyDescent="0.2">
      <c r="A19" s="2"/>
      <c r="B19" s="2"/>
      <c r="C19" s="2"/>
      <c r="D19" s="2"/>
      <c r="E19" s="73"/>
      <c r="F19" s="73"/>
      <c r="G19" s="73"/>
    </row>
    <row r="20" spans="1:7" ht="15" customHeight="1" x14ac:dyDescent="0.2">
      <c r="A20" s="2"/>
      <c r="B20" s="3" t="s">
        <v>193</v>
      </c>
      <c r="C20" s="2"/>
      <c r="D20" s="2"/>
      <c r="E20" s="73"/>
      <c r="F20" s="73"/>
      <c r="G20" s="73"/>
    </row>
    <row r="21" spans="1:7" ht="15.75" customHeight="1" x14ac:dyDescent="0.2">
      <c r="A21" s="2"/>
      <c r="B21" s="4" t="s">
        <v>2</v>
      </c>
      <c r="C21" s="84" t="s">
        <v>3</v>
      </c>
      <c r="D21" s="2"/>
      <c r="E21" s="73"/>
      <c r="F21" s="73"/>
      <c r="G21" s="73"/>
    </row>
    <row r="22" spans="1:7" ht="15.75" customHeight="1" x14ac:dyDescent="0.2">
      <c r="A22" s="2"/>
      <c r="B22" s="4" t="s">
        <v>4</v>
      </c>
      <c r="C22" s="84" t="s">
        <v>5</v>
      </c>
      <c r="D22" s="2"/>
      <c r="E22" s="73"/>
      <c r="F22" s="73"/>
      <c r="G22" s="73"/>
    </row>
    <row r="23" spans="1:7" ht="15.75" customHeight="1" x14ac:dyDescent="0.2">
      <c r="A23" s="2"/>
      <c r="B23" s="4" t="s">
        <v>194</v>
      </c>
      <c r="C23" s="84" t="s">
        <v>5</v>
      </c>
      <c r="D23" s="2"/>
      <c r="E23" s="73"/>
      <c r="F23" s="73"/>
      <c r="G23" s="73"/>
    </row>
    <row r="24" spans="1:7" ht="15.75" customHeight="1" x14ac:dyDescent="0.2">
      <c r="A24" s="2"/>
      <c r="B24" s="4" t="s">
        <v>6</v>
      </c>
      <c r="C24" s="84" t="s">
        <v>196</v>
      </c>
      <c r="D24" s="2"/>
      <c r="E24" s="73"/>
      <c r="F24" s="73"/>
      <c r="G24" s="73"/>
    </row>
    <row r="25" spans="1:7" ht="15.75" customHeight="1" x14ac:dyDescent="0.2">
      <c r="A25" s="2"/>
      <c r="B25" s="4" t="s">
        <v>195</v>
      </c>
      <c r="C25" s="84" t="s">
        <v>197</v>
      </c>
      <c r="D25" s="2"/>
      <c r="E25" s="73"/>
      <c r="F25" s="73"/>
      <c r="G25" s="73"/>
    </row>
    <row r="26" spans="1:7" ht="15.75" customHeight="1" x14ac:dyDescent="0.2">
      <c r="A26" s="2"/>
      <c r="B26" s="4" t="s">
        <v>7</v>
      </c>
      <c r="C26" s="84" t="s">
        <v>198</v>
      </c>
      <c r="D26" s="2"/>
      <c r="E26" s="73"/>
      <c r="F26" s="73"/>
      <c r="G26" s="73"/>
    </row>
    <row r="27" spans="1:7" ht="15.75" customHeight="1" x14ac:dyDescent="0.2">
      <c r="A27" s="2"/>
      <c r="B27" s="4" t="s">
        <v>8</v>
      </c>
      <c r="C27" s="85">
        <v>0.79200000000000004</v>
      </c>
      <c r="D27" s="2"/>
      <c r="E27" s="73"/>
      <c r="F27" s="73"/>
      <c r="G27" s="73"/>
    </row>
    <row r="28" spans="1:7" ht="15" customHeight="1" x14ac:dyDescent="0.2">
      <c r="A28" s="2"/>
      <c r="B28" s="2"/>
      <c r="C28" s="2"/>
      <c r="D28" s="2"/>
      <c r="E28" s="73"/>
      <c r="F28" s="73"/>
      <c r="G28" s="73"/>
    </row>
    <row r="29" spans="1:7" ht="15" customHeight="1" x14ac:dyDescent="0.2">
      <c r="A29" s="2"/>
      <c r="B29" s="3" t="s">
        <v>247</v>
      </c>
      <c r="C29" s="2"/>
      <c r="D29" s="2"/>
      <c r="E29" s="73"/>
      <c r="F29" s="73"/>
      <c r="G29" s="73"/>
    </row>
    <row r="30" spans="1:7" ht="15" customHeight="1" x14ac:dyDescent="0.2">
      <c r="A30" s="2"/>
      <c r="B30" s="94" t="s">
        <v>9</v>
      </c>
      <c r="C30" s="94"/>
      <c r="D30" s="2"/>
      <c r="E30" s="73"/>
      <c r="F30" s="73"/>
      <c r="G30" s="73"/>
    </row>
    <row r="31" spans="1:7" ht="15" customHeight="1" x14ac:dyDescent="0.2">
      <c r="A31" s="2"/>
      <c r="B31" s="93" t="s">
        <v>180</v>
      </c>
      <c r="C31" s="93"/>
      <c r="D31" s="2"/>
      <c r="E31" s="73"/>
      <c r="F31" s="73"/>
      <c r="G31" s="73"/>
    </row>
    <row r="32" spans="1:7" ht="15" customHeight="1" x14ac:dyDescent="0.2">
      <c r="A32" s="2"/>
      <c r="B32" s="94" t="s">
        <v>181</v>
      </c>
      <c r="C32" s="94"/>
      <c r="D32" s="2"/>
      <c r="E32" s="73"/>
      <c r="F32" s="73"/>
      <c r="G32" s="73"/>
    </row>
    <row r="33" spans="1:7" ht="15" customHeight="1" x14ac:dyDescent="0.2">
      <c r="A33" s="2"/>
      <c r="B33" s="93" t="s">
        <v>182</v>
      </c>
      <c r="C33" s="93"/>
      <c r="D33" s="2"/>
      <c r="E33" s="73"/>
      <c r="F33" s="73"/>
      <c r="G33" s="73"/>
    </row>
    <row r="34" spans="1:7" ht="15" customHeight="1" x14ac:dyDescent="0.2">
      <c r="A34" s="2"/>
      <c r="B34" s="94" t="s">
        <v>183</v>
      </c>
      <c r="C34" s="94"/>
      <c r="D34" s="2"/>
      <c r="E34" s="73"/>
      <c r="F34" s="73"/>
      <c r="G34" s="73"/>
    </row>
    <row r="35" spans="1:7" ht="15" customHeight="1" x14ac:dyDescent="0.2">
      <c r="A35" s="2"/>
      <c r="B35" s="2"/>
      <c r="C35" s="2"/>
      <c r="D35" s="2"/>
      <c r="E35" s="73"/>
      <c r="F35" s="73"/>
      <c r="G35" s="73"/>
    </row>
    <row r="36" spans="1:7" ht="15" customHeight="1" x14ac:dyDescent="0.2">
      <c r="A36" s="2"/>
      <c r="B36" s="2"/>
      <c r="C36" s="2"/>
      <c r="D36" s="2"/>
      <c r="E36" s="73"/>
      <c r="F36" s="73"/>
      <c r="G36" s="73"/>
    </row>
    <row r="37" spans="1:7" ht="15" customHeight="1" x14ac:dyDescent="0.2">
      <c r="A37" s="2"/>
      <c r="B37" s="2"/>
      <c r="C37" s="2"/>
      <c r="D37" s="2"/>
      <c r="E37" s="73"/>
      <c r="F37" s="73"/>
      <c r="G37" s="73"/>
    </row>
    <row r="38" spans="1:7" ht="15" customHeight="1" x14ac:dyDescent="0.2">
      <c r="A38" s="2"/>
      <c r="B38" s="2"/>
      <c r="C38" s="2"/>
      <c r="D38" s="2"/>
      <c r="E38" s="73"/>
      <c r="F38" s="73"/>
      <c r="G38" s="73"/>
    </row>
    <row r="39" spans="1:7" ht="15" customHeight="1" x14ac:dyDescent="0.2">
      <c r="A39" s="2"/>
      <c r="B39" s="2"/>
      <c r="C39" s="2"/>
      <c r="D39" s="2"/>
      <c r="E39" s="73"/>
      <c r="F39" s="73"/>
      <c r="G39" s="73"/>
    </row>
    <row r="40" spans="1:7" ht="15" customHeight="1" x14ac:dyDescent="0.2">
      <c r="A40" s="2"/>
      <c r="B40" s="2"/>
      <c r="C40" s="2"/>
      <c r="D40" s="2"/>
      <c r="E40" s="73"/>
      <c r="F40" s="73"/>
      <c r="G40" s="73"/>
    </row>
    <row r="41" spans="1:7" ht="15" customHeight="1" x14ac:dyDescent="0.2">
      <c r="A41" s="2"/>
      <c r="B41" s="2"/>
      <c r="C41" s="2"/>
      <c r="D41" s="2"/>
      <c r="E41" s="73"/>
      <c r="F41" s="73"/>
      <c r="G41" s="73"/>
    </row>
    <row r="42" spans="1:7" ht="15" customHeight="1" x14ac:dyDescent="0.2">
      <c r="A42" s="2"/>
      <c r="B42" s="2"/>
      <c r="C42" s="2"/>
      <c r="D42" s="2"/>
      <c r="E42" s="73"/>
      <c r="F42" s="73"/>
      <c r="G42" s="73"/>
    </row>
    <row r="43" spans="1:7" ht="15" customHeight="1" x14ac:dyDescent="0.2">
      <c r="A43" s="2"/>
      <c r="B43" s="2"/>
      <c r="C43" s="2"/>
      <c r="D43" s="2"/>
      <c r="E43" s="73"/>
      <c r="F43" s="73"/>
      <c r="G43" s="73"/>
    </row>
    <row r="44" spans="1:7" ht="15" customHeight="1" x14ac:dyDescent="0.2">
      <c r="A44" s="2"/>
      <c r="B44" s="2"/>
      <c r="C44" s="2"/>
      <c r="D44" s="2"/>
      <c r="E44" s="73"/>
      <c r="F44" s="73"/>
      <c r="G44" s="73"/>
    </row>
    <row r="45" spans="1:7" ht="15" customHeight="1" x14ac:dyDescent="0.2">
      <c r="A45" s="2"/>
      <c r="B45" s="2"/>
      <c r="C45" s="2"/>
      <c r="D45" s="2"/>
      <c r="E45" s="73"/>
      <c r="F45" s="73"/>
      <c r="G45" s="73"/>
    </row>
    <row r="46" spans="1:7" ht="15" customHeight="1" x14ac:dyDescent="0.2">
      <c r="A46" s="2"/>
      <c r="B46" s="2"/>
      <c r="C46" s="2"/>
      <c r="D46" s="2"/>
      <c r="E46" s="73"/>
      <c r="F46" s="73"/>
      <c r="G46" s="73"/>
    </row>
    <row r="47" spans="1:7" ht="15" customHeight="1" x14ac:dyDescent="0.2">
      <c r="A47" s="2"/>
      <c r="B47" s="2"/>
      <c r="C47" s="2"/>
      <c r="D47" s="2"/>
      <c r="E47" s="73"/>
      <c r="F47" s="73"/>
      <c r="G47" s="73"/>
    </row>
    <row r="48" spans="1:7" ht="15" customHeight="1" x14ac:dyDescent="0.2">
      <c r="A48" s="2"/>
      <c r="B48" s="2"/>
      <c r="C48" s="2"/>
      <c r="D48" s="2"/>
      <c r="E48" s="73"/>
      <c r="F48" s="73"/>
      <c r="G48" s="73"/>
    </row>
    <row r="49" spans="1:7" ht="15" customHeight="1" x14ac:dyDescent="0.2">
      <c r="A49" s="2"/>
      <c r="B49" s="2"/>
      <c r="C49" s="2"/>
      <c r="D49" s="2"/>
      <c r="E49" s="73"/>
      <c r="F49" s="73"/>
      <c r="G49" s="73"/>
    </row>
    <row r="50" spans="1:7" ht="15" customHeight="1" x14ac:dyDescent="0.2">
      <c r="A50" s="2"/>
      <c r="B50" s="2"/>
      <c r="C50" s="2"/>
      <c r="D50" s="2"/>
      <c r="E50" s="73"/>
      <c r="F50" s="73"/>
      <c r="G50" s="73"/>
    </row>
  </sheetData>
  <mergeCells count="17">
    <mergeCell ref="B33:C33"/>
    <mergeCell ref="B34:C34"/>
    <mergeCell ref="B17:C17"/>
    <mergeCell ref="B18:C18"/>
    <mergeCell ref="B30:C30"/>
    <mergeCell ref="B31:C31"/>
    <mergeCell ref="B32:C32"/>
    <mergeCell ref="B12:C12"/>
    <mergeCell ref="B13:C13"/>
    <mergeCell ref="B14:C14"/>
    <mergeCell ref="B15:C15"/>
    <mergeCell ref="B16:C16"/>
    <mergeCell ref="B2:C5"/>
    <mergeCell ref="B8:C8"/>
    <mergeCell ref="B9:C9"/>
    <mergeCell ref="B10:C10"/>
    <mergeCell ref="B11:C11"/>
  </mergeCells>
  <pageMargins left="0.7" right="0.7" top="0.75" bottom="0.75" header="0.3" footer="0.3"/>
  <pageSetup paperSize="9" scale="8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A1:E108"/>
  <sheetViews>
    <sheetView zoomScale="112" zoomScaleNormal="100" workbookViewId="0">
      <selection activeCell="B24" sqref="B24"/>
    </sheetView>
  </sheetViews>
  <sheetFormatPr baseColWidth="10" defaultColWidth="8.6640625" defaultRowHeight="15" x14ac:dyDescent="0.2"/>
  <cols>
    <col min="1" max="1" width="45" style="1" customWidth="1"/>
    <col min="2" max="2" width="20" style="1" customWidth="1"/>
    <col min="3" max="3" width="18" style="1" customWidth="1"/>
    <col min="4" max="4" width="35" style="79" customWidth="1"/>
  </cols>
  <sheetData>
    <row r="1" spans="1:5" ht="27.75" customHeight="1" x14ac:dyDescent="0.2">
      <c r="A1" s="95" t="s">
        <v>234</v>
      </c>
      <c r="B1" s="95"/>
      <c r="C1" s="95"/>
      <c r="D1" s="95"/>
      <c r="E1" s="2"/>
    </row>
    <row r="2" spans="1:5" ht="15" customHeight="1" x14ac:dyDescent="0.2">
      <c r="A2" s="2"/>
      <c r="B2" s="2"/>
      <c r="C2" s="2"/>
      <c r="D2" s="77"/>
      <c r="E2" s="2"/>
    </row>
    <row r="3" spans="1:5" ht="19.5" customHeight="1" x14ac:dyDescent="0.2">
      <c r="A3" s="96" t="s">
        <v>199</v>
      </c>
      <c r="B3" s="96"/>
      <c r="C3" s="96"/>
      <c r="D3" s="96"/>
      <c r="E3" s="2"/>
    </row>
    <row r="4" spans="1:5" ht="15" customHeight="1" x14ac:dyDescent="0.2">
      <c r="A4" s="5" t="s">
        <v>10</v>
      </c>
      <c r="B4" s="6">
        <v>5500000</v>
      </c>
      <c r="C4" s="7" t="s">
        <v>11</v>
      </c>
      <c r="D4" s="76" t="s">
        <v>12</v>
      </c>
      <c r="E4" s="2"/>
    </row>
    <row r="5" spans="1:5" ht="15" customHeight="1" x14ac:dyDescent="0.2">
      <c r="A5" s="5" t="s">
        <v>250</v>
      </c>
      <c r="B5" s="6">
        <v>550000</v>
      </c>
      <c r="C5" s="7" t="s">
        <v>11</v>
      </c>
      <c r="D5" s="77"/>
      <c r="E5" s="2"/>
    </row>
    <row r="6" spans="1:5" ht="15" customHeight="1" x14ac:dyDescent="0.2">
      <c r="A6" s="5" t="s">
        <v>13</v>
      </c>
      <c r="B6" s="6">
        <v>150000</v>
      </c>
      <c r="C6" s="7" t="s">
        <v>11</v>
      </c>
      <c r="D6" s="77"/>
      <c r="E6" s="2"/>
    </row>
    <row r="7" spans="1:5" ht="15" customHeight="1" x14ac:dyDescent="0.2">
      <c r="A7" s="8" t="s">
        <v>14</v>
      </c>
      <c r="B7" s="9">
        <f>B4+B5+B6</f>
        <v>6200000</v>
      </c>
      <c r="C7" s="10" t="s">
        <v>11</v>
      </c>
      <c r="D7" s="77"/>
      <c r="E7" s="2"/>
    </row>
    <row r="8" spans="1:5" ht="15" customHeight="1" x14ac:dyDescent="0.2">
      <c r="A8" s="5" t="s">
        <v>15</v>
      </c>
      <c r="B8" s="11">
        <v>10.8</v>
      </c>
      <c r="C8" s="7" t="s">
        <v>16</v>
      </c>
      <c r="D8" s="77"/>
      <c r="E8" s="2"/>
    </row>
    <row r="9" spans="1:5" ht="15" customHeight="1" x14ac:dyDescent="0.2">
      <c r="A9" s="8" t="s">
        <v>17</v>
      </c>
      <c r="B9" s="75">
        <f>B7/B8</f>
        <v>574074.07407407404</v>
      </c>
      <c r="C9" s="10" t="s">
        <v>18</v>
      </c>
      <c r="D9" s="77"/>
      <c r="E9" s="2"/>
    </row>
    <row r="10" spans="1:5" ht="15" customHeight="1" x14ac:dyDescent="0.2">
      <c r="A10" s="2"/>
      <c r="B10" s="2"/>
      <c r="C10" s="2"/>
      <c r="D10" s="77"/>
      <c r="E10" s="2"/>
    </row>
    <row r="11" spans="1:5" ht="19.5" customHeight="1" x14ac:dyDescent="0.2">
      <c r="A11" s="96" t="s">
        <v>200</v>
      </c>
      <c r="B11" s="96"/>
      <c r="C11" s="96"/>
      <c r="D11" s="96"/>
      <c r="E11" s="2"/>
    </row>
    <row r="12" spans="1:5" ht="15" customHeight="1" x14ac:dyDescent="0.2">
      <c r="A12" s="5" t="s">
        <v>19</v>
      </c>
      <c r="B12" s="13">
        <v>0.5</v>
      </c>
      <c r="C12" s="7" t="s">
        <v>20</v>
      </c>
      <c r="D12" s="76" t="s">
        <v>21</v>
      </c>
      <c r="E12" s="2"/>
    </row>
    <row r="13" spans="1:5" ht="15" customHeight="1" x14ac:dyDescent="0.2">
      <c r="A13" s="8" t="s">
        <v>22</v>
      </c>
      <c r="B13" s="9">
        <f>B7*B12</f>
        <v>3100000</v>
      </c>
      <c r="C13" s="10" t="s">
        <v>11</v>
      </c>
      <c r="D13" s="77"/>
      <c r="E13" s="2"/>
    </row>
    <row r="14" spans="1:5" ht="15" customHeight="1" x14ac:dyDescent="0.2">
      <c r="A14" s="8" t="s">
        <v>23</v>
      </c>
      <c r="B14" s="9">
        <f>B7-B13</f>
        <v>3100000</v>
      </c>
      <c r="C14" s="10" t="s">
        <v>11</v>
      </c>
      <c r="D14" s="77"/>
      <c r="E14" s="2"/>
    </row>
    <row r="15" spans="1:5" ht="15" customHeight="1" x14ac:dyDescent="0.2">
      <c r="A15" s="5" t="s">
        <v>24</v>
      </c>
      <c r="B15" s="13">
        <v>0.06</v>
      </c>
      <c r="C15" s="7" t="s">
        <v>20</v>
      </c>
      <c r="D15" s="76" t="s">
        <v>203</v>
      </c>
      <c r="E15" s="2"/>
    </row>
    <row r="16" spans="1:5" ht="15" customHeight="1" x14ac:dyDescent="0.2">
      <c r="A16" s="5" t="s">
        <v>25</v>
      </c>
      <c r="B16" s="11">
        <v>20</v>
      </c>
      <c r="C16" s="7" t="s">
        <v>26</v>
      </c>
      <c r="D16" s="77"/>
      <c r="E16" s="2"/>
    </row>
    <row r="17" spans="1:5" ht="15" customHeight="1" x14ac:dyDescent="0.2">
      <c r="A17" s="8" t="s">
        <v>27</v>
      </c>
      <c r="B17" s="9">
        <f>ROUND(B14*(B15/12)/(1-(1+B15/12)^(-B16*12)),0)</f>
        <v>22209</v>
      </c>
      <c r="C17" s="10" t="s">
        <v>28</v>
      </c>
      <c r="D17" s="77"/>
      <c r="E17" s="2"/>
    </row>
    <row r="18" spans="1:5" ht="15" customHeight="1" x14ac:dyDescent="0.2">
      <c r="A18" s="8" t="s">
        <v>29</v>
      </c>
      <c r="B18" s="9">
        <f>B17*12</f>
        <v>266508</v>
      </c>
      <c r="C18" s="10" t="s">
        <v>30</v>
      </c>
      <c r="D18" s="77"/>
      <c r="E18" s="2"/>
    </row>
    <row r="19" spans="1:5" ht="15" customHeight="1" x14ac:dyDescent="0.2">
      <c r="A19" s="8" t="s">
        <v>31</v>
      </c>
      <c r="B19" s="9">
        <f>B17*B16*12</f>
        <v>5330160</v>
      </c>
      <c r="C19" s="10" t="s">
        <v>11</v>
      </c>
      <c r="D19" s="77"/>
      <c r="E19" s="2"/>
    </row>
    <row r="20" spans="1:5" ht="15" customHeight="1" x14ac:dyDescent="0.2">
      <c r="A20" s="8" t="s">
        <v>32</v>
      </c>
      <c r="B20" s="9">
        <f>B19-B14</f>
        <v>2230160</v>
      </c>
      <c r="C20" s="10" t="s">
        <v>11</v>
      </c>
      <c r="D20" s="77"/>
      <c r="E20" s="2"/>
    </row>
    <row r="21" spans="1:5" ht="15" customHeight="1" x14ac:dyDescent="0.2">
      <c r="A21" s="2"/>
      <c r="B21" s="2"/>
      <c r="C21" s="2"/>
      <c r="D21" s="77"/>
      <c r="E21" s="2"/>
    </row>
    <row r="22" spans="1:5" ht="19.5" customHeight="1" x14ac:dyDescent="0.2">
      <c r="A22" s="96" t="s">
        <v>204</v>
      </c>
      <c r="B22" s="96"/>
      <c r="C22" s="96"/>
      <c r="D22" s="96"/>
      <c r="E22" s="2"/>
    </row>
    <row r="23" spans="1:5" ht="15" customHeight="1" x14ac:dyDescent="0.2">
      <c r="A23" s="5" t="s">
        <v>33</v>
      </c>
      <c r="B23" s="13">
        <v>0.25</v>
      </c>
      <c r="C23" s="7" t="s">
        <v>20</v>
      </c>
      <c r="D23" s="76" t="s">
        <v>34</v>
      </c>
      <c r="E23" s="2"/>
    </row>
    <row r="24" spans="1:5" ht="15" customHeight="1" x14ac:dyDescent="0.2">
      <c r="A24" s="8" t="s">
        <v>35</v>
      </c>
      <c r="B24" s="12">
        <f>ROUND(B17*(1+B23),0)</f>
        <v>27761</v>
      </c>
      <c r="C24" s="10" t="s">
        <v>28</v>
      </c>
      <c r="D24" s="77"/>
      <c r="E24" s="2"/>
    </row>
    <row r="25" spans="1:5" ht="15" customHeight="1" x14ac:dyDescent="0.2">
      <c r="A25" s="8" t="s">
        <v>36</v>
      </c>
      <c r="B25" s="9">
        <f>B24*12</f>
        <v>333132</v>
      </c>
      <c r="C25" s="10" t="s">
        <v>30</v>
      </c>
      <c r="D25" s="77"/>
      <c r="E25" s="2"/>
    </row>
    <row r="26" spans="1:5" ht="15" customHeight="1" x14ac:dyDescent="0.2">
      <c r="A26" s="8" t="s">
        <v>37</v>
      </c>
      <c r="B26" s="9">
        <f>B25-B18</f>
        <v>66624</v>
      </c>
      <c r="C26" s="10" t="s">
        <v>30</v>
      </c>
      <c r="D26" s="77"/>
      <c r="E26" s="2"/>
    </row>
    <row r="27" spans="1:5" ht="15" customHeight="1" x14ac:dyDescent="0.2">
      <c r="A27" s="2"/>
      <c r="B27" s="2"/>
      <c r="C27" s="2"/>
      <c r="D27" s="77"/>
      <c r="E27" s="2"/>
    </row>
    <row r="28" spans="1:5" ht="19.5" customHeight="1" x14ac:dyDescent="0.2">
      <c r="A28" s="96" t="s">
        <v>201</v>
      </c>
      <c r="B28" s="96"/>
      <c r="C28" s="96"/>
      <c r="D28" s="96"/>
      <c r="E28" s="2"/>
    </row>
    <row r="29" spans="1:5" ht="15" customHeight="1" x14ac:dyDescent="0.2">
      <c r="A29" s="5" t="s">
        <v>38</v>
      </c>
      <c r="B29" s="11">
        <v>8</v>
      </c>
      <c r="C29" s="7" t="s">
        <v>39</v>
      </c>
      <c r="D29" s="77"/>
      <c r="E29" s="2"/>
    </row>
    <row r="30" spans="1:5" ht="15" customHeight="1" x14ac:dyDescent="0.2">
      <c r="A30" s="5" t="s">
        <v>40</v>
      </c>
      <c r="B30" s="6">
        <v>1500</v>
      </c>
      <c r="C30" s="7" t="s">
        <v>41</v>
      </c>
      <c r="D30" s="76" t="s">
        <v>202</v>
      </c>
      <c r="E30" s="2"/>
    </row>
    <row r="31" spans="1:5" ht="15" customHeight="1" x14ac:dyDescent="0.2">
      <c r="A31" s="5" t="s">
        <v>229</v>
      </c>
      <c r="B31" s="6">
        <v>1200</v>
      </c>
      <c r="C31" s="7" t="s">
        <v>41</v>
      </c>
      <c r="D31" s="77"/>
      <c r="E31" s="2"/>
    </row>
    <row r="32" spans="1:5" ht="15" customHeight="1" x14ac:dyDescent="0.2">
      <c r="A32" s="5" t="s">
        <v>230</v>
      </c>
      <c r="B32" s="6">
        <v>900</v>
      </c>
      <c r="C32" s="7" t="s">
        <v>41</v>
      </c>
      <c r="D32" s="77"/>
      <c r="E32" s="2"/>
    </row>
    <row r="33" spans="1:5" ht="15" customHeight="1" x14ac:dyDescent="0.2">
      <c r="A33" s="2"/>
      <c r="B33" s="2"/>
      <c r="C33" s="2"/>
      <c r="D33" s="77"/>
      <c r="E33" s="2"/>
    </row>
    <row r="34" spans="1:5" ht="15" customHeight="1" x14ac:dyDescent="0.2">
      <c r="A34" s="97" t="s">
        <v>228</v>
      </c>
      <c r="B34" s="97"/>
      <c r="C34" s="97"/>
      <c r="D34" s="97"/>
      <c r="E34" s="2"/>
    </row>
    <row r="35" spans="1:5" ht="15" customHeight="1" x14ac:dyDescent="0.2">
      <c r="A35" s="86" t="s">
        <v>42</v>
      </c>
      <c r="B35" s="86" t="s">
        <v>43</v>
      </c>
      <c r="C35" s="86" t="s">
        <v>44</v>
      </c>
      <c r="D35" s="86" t="s">
        <v>45</v>
      </c>
      <c r="E35" s="2"/>
    </row>
    <row r="36" spans="1:5" ht="15" customHeight="1" x14ac:dyDescent="0.2">
      <c r="A36" s="14" t="s">
        <v>46</v>
      </c>
      <c r="B36" s="15">
        <v>0.5</v>
      </c>
      <c r="C36" s="16" t="str">
        <f t="shared" ref="C36:C47" si="0">IF(B36&gt;=0.8,"Haute Saison",IF(B36&gt;=0.5,"Moyenne Saison","Basse Saison"))</f>
        <v>Moyenne Saison</v>
      </c>
      <c r="D36" s="78">
        <f>IF(B36&gt;=0.8,B30,IF(B36&gt;=0.51,B31,B32))</f>
        <v>900</v>
      </c>
      <c r="E36" s="2"/>
    </row>
    <row r="37" spans="1:5" ht="15" customHeight="1" x14ac:dyDescent="0.2">
      <c r="A37" s="14" t="s">
        <v>47</v>
      </c>
      <c r="B37" s="15">
        <v>0.5</v>
      </c>
      <c r="C37" s="16" t="str">
        <f t="shared" si="0"/>
        <v>Moyenne Saison</v>
      </c>
      <c r="D37" s="78">
        <f>IF(B37&gt;=0.8,B30,IF(B37&gt;=0.51,B31,B32))</f>
        <v>900</v>
      </c>
      <c r="E37" s="2"/>
    </row>
    <row r="38" spans="1:5" ht="15" customHeight="1" x14ac:dyDescent="0.2">
      <c r="A38" s="14" t="s">
        <v>48</v>
      </c>
      <c r="B38" s="15">
        <v>0.55000000000000004</v>
      </c>
      <c r="C38" s="16" t="str">
        <f t="shared" si="0"/>
        <v>Moyenne Saison</v>
      </c>
      <c r="D38" s="78">
        <f>IF(B38&gt;=0.8,B30,IF(B38&gt;=0.51,B31,B32))</f>
        <v>1200</v>
      </c>
      <c r="E38" s="2"/>
    </row>
    <row r="39" spans="1:5" ht="15" customHeight="1" x14ac:dyDescent="0.2">
      <c r="A39" s="14" t="s">
        <v>49</v>
      </c>
      <c r="B39" s="15">
        <v>0.65</v>
      </c>
      <c r="C39" s="16" t="str">
        <f t="shared" si="0"/>
        <v>Moyenne Saison</v>
      </c>
      <c r="D39" s="78">
        <f>IF(B39&gt;=0.8,B30,IF(B39&gt;=0.51,B31,B32))</f>
        <v>1200</v>
      </c>
      <c r="E39" s="2"/>
    </row>
    <row r="40" spans="1:5" ht="15" customHeight="1" x14ac:dyDescent="0.2">
      <c r="A40" s="14" t="s">
        <v>50</v>
      </c>
      <c r="B40" s="15">
        <v>0.7</v>
      </c>
      <c r="C40" s="16" t="str">
        <f t="shared" si="0"/>
        <v>Moyenne Saison</v>
      </c>
      <c r="D40" s="78">
        <f>IF(B40&gt;=0.8,B30,IF(B40&gt;=0.51,B31,B32))</f>
        <v>1200</v>
      </c>
      <c r="E40" s="2"/>
    </row>
    <row r="41" spans="1:5" ht="15" customHeight="1" x14ac:dyDescent="0.2">
      <c r="A41" s="14" t="s">
        <v>51</v>
      </c>
      <c r="B41" s="15">
        <v>0.85</v>
      </c>
      <c r="C41" s="16" t="str">
        <f t="shared" si="0"/>
        <v>Haute Saison</v>
      </c>
      <c r="D41" s="78">
        <f>IF(B41&gt;=0.8,B30,IF(B41&gt;=0.51,B31,B32))</f>
        <v>1500</v>
      </c>
      <c r="E41" s="2"/>
    </row>
    <row r="42" spans="1:5" ht="15" customHeight="1" x14ac:dyDescent="0.2">
      <c r="A42" s="14" t="s">
        <v>52</v>
      </c>
      <c r="B42" s="15">
        <v>1</v>
      </c>
      <c r="C42" s="16" t="str">
        <f t="shared" si="0"/>
        <v>Haute Saison</v>
      </c>
      <c r="D42" s="78">
        <f>IF(B42&gt;=0.8,B30,IF(B42&gt;=0.51,B31,B32))</f>
        <v>1500</v>
      </c>
      <c r="E42" s="2"/>
    </row>
    <row r="43" spans="1:5" ht="15" customHeight="1" x14ac:dyDescent="0.2">
      <c r="A43" s="14" t="s">
        <v>53</v>
      </c>
      <c r="B43" s="15">
        <v>1</v>
      </c>
      <c r="C43" s="16" t="str">
        <f t="shared" si="0"/>
        <v>Haute Saison</v>
      </c>
      <c r="D43" s="78">
        <f>IF(B43&gt;=0.8,B30,IF(B43&gt;=0.51,B31,B32))</f>
        <v>1500</v>
      </c>
      <c r="E43" s="2"/>
    </row>
    <row r="44" spans="1:5" ht="15" customHeight="1" x14ac:dyDescent="0.2">
      <c r="A44" s="14" t="s">
        <v>54</v>
      </c>
      <c r="B44" s="15">
        <v>1</v>
      </c>
      <c r="C44" s="16" t="str">
        <f t="shared" si="0"/>
        <v>Haute Saison</v>
      </c>
      <c r="D44" s="78">
        <f>IF(B44&gt;=0.8,B30,IF(B44&gt;=0.51,B31,B32))</f>
        <v>1500</v>
      </c>
      <c r="E44" s="2"/>
    </row>
    <row r="45" spans="1:5" ht="15" customHeight="1" x14ac:dyDescent="0.2">
      <c r="A45" s="14" t="s">
        <v>55</v>
      </c>
      <c r="B45" s="15">
        <v>0.8</v>
      </c>
      <c r="C45" s="16" t="str">
        <f t="shared" si="0"/>
        <v>Haute Saison</v>
      </c>
      <c r="D45" s="78">
        <f>IF(B45&gt;=0.8,B30,IF(B45&gt;=0.51,B31,B32))</f>
        <v>1500</v>
      </c>
      <c r="E45" s="2"/>
    </row>
    <row r="46" spans="1:5" ht="15" customHeight="1" x14ac:dyDescent="0.2">
      <c r="A46" s="14" t="s">
        <v>56</v>
      </c>
      <c r="B46" s="15">
        <v>0.6</v>
      </c>
      <c r="C46" s="16" t="str">
        <f t="shared" si="0"/>
        <v>Moyenne Saison</v>
      </c>
      <c r="D46" s="78">
        <f>IF(B46&gt;=0.8,B30,IF(B46&gt;=0.51,B31,B32))</f>
        <v>1200</v>
      </c>
      <c r="E46" s="2"/>
    </row>
    <row r="47" spans="1:5" ht="15" customHeight="1" x14ac:dyDescent="0.2">
      <c r="A47" s="14" t="s">
        <v>57</v>
      </c>
      <c r="B47" s="15">
        <v>0.65</v>
      </c>
      <c r="C47" s="16" t="str">
        <f t="shared" si="0"/>
        <v>Moyenne Saison</v>
      </c>
      <c r="D47" s="78">
        <f>IF(B47&gt;=0.8,B30,IF(B47&gt;=0.51,B31,B32))</f>
        <v>1200</v>
      </c>
      <c r="E47" s="2"/>
    </row>
    <row r="48" spans="1:5" ht="15" customHeight="1" x14ac:dyDescent="0.2">
      <c r="A48" s="17" t="s">
        <v>58</v>
      </c>
      <c r="B48" s="18">
        <f>AVERAGE(B36:B47)</f>
        <v>0.73333333333333339</v>
      </c>
      <c r="C48" s="2"/>
      <c r="D48" s="77"/>
      <c r="E48" s="2"/>
    </row>
    <row r="49" spans="1:5" ht="15" customHeight="1" x14ac:dyDescent="0.2">
      <c r="A49" s="2"/>
      <c r="B49" s="2"/>
      <c r="C49" s="2"/>
      <c r="D49" s="77"/>
      <c r="E49" s="2"/>
    </row>
    <row r="50" spans="1:5" ht="19.5" customHeight="1" x14ac:dyDescent="0.2">
      <c r="A50" s="96" t="s">
        <v>205</v>
      </c>
      <c r="B50" s="96"/>
      <c r="C50" s="96"/>
      <c r="D50" s="96"/>
      <c r="E50" s="2"/>
    </row>
    <row r="51" spans="1:5" ht="15" customHeight="1" x14ac:dyDescent="0.2">
      <c r="A51" s="5" t="s">
        <v>59</v>
      </c>
      <c r="B51" s="13">
        <v>0.01</v>
      </c>
      <c r="C51" s="7" t="s">
        <v>20</v>
      </c>
      <c r="D51" s="80"/>
      <c r="E51" s="2"/>
    </row>
    <row r="52" spans="1:5" ht="15" customHeight="1" x14ac:dyDescent="0.2">
      <c r="A52" s="5" t="s">
        <v>60</v>
      </c>
      <c r="B52" s="13">
        <v>0.02</v>
      </c>
      <c r="C52" s="7" t="s">
        <v>20</v>
      </c>
      <c r="D52" s="80"/>
      <c r="E52" s="2"/>
    </row>
    <row r="53" spans="1:5" ht="15" customHeight="1" x14ac:dyDescent="0.2">
      <c r="A53" s="5" t="s">
        <v>61</v>
      </c>
      <c r="B53" s="13">
        <v>0.01</v>
      </c>
      <c r="C53" s="7" t="s">
        <v>20</v>
      </c>
      <c r="D53" s="80"/>
      <c r="E53" s="2"/>
    </row>
    <row r="54" spans="1:5" ht="15" customHeight="1" x14ac:dyDescent="0.2">
      <c r="A54" s="5" t="s">
        <v>62</v>
      </c>
      <c r="B54" s="13">
        <v>0.02</v>
      </c>
      <c r="C54" s="7" t="s">
        <v>20</v>
      </c>
      <c r="D54" s="77"/>
      <c r="E54" s="2"/>
    </row>
    <row r="55" spans="1:5" ht="15" customHeight="1" x14ac:dyDescent="0.2">
      <c r="A55" s="5" t="s">
        <v>63</v>
      </c>
      <c r="B55" s="13">
        <v>0.02</v>
      </c>
      <c r="C55" s="7" t="s">
        <v>20</v>
      </c>
      <c r="D55" s="77"/>
      <c r="E55" s="2"/>
    </row>
    <row r="56" spans="1:5" ht="15" customHeight="1" x14ac:dyDescent="0.2">
      <c r="A56" s="5" t="s">
        <v>64</v>
      </c>
      <c r="B56" s="13">
        <v>0.02</v>
      </c>
      <c r="C56" s="7" t="s">
        <v>20</v>
      </c>
      <c r="D56" s="77"/>
      <c r="E56" s="2"/>
    </row>
    <row r="57" spans="1:5" ht="15" customHeight="1" x14ac:dyDescent="0.2">
      <c r="A57" s="2"/>
      <c r="B57" s="2"/>
      <c r="C57" s="2"/>
      <c r="D57" s="77"/>
      <c r="E57" s="2"/>
    </row>
    <row r="58" spans="1:5" ht="19.5" customHeight="1" x14ac:dyDescent="0.2">
      <c r="A58" s="96" t="s">
        <v>206</v>
      </c>
      <c r="B58" s="96"/>
      <c r="C58" s="96"/>
      <c r="D58" s="96"/>
      <c r="E58" s="2"/>
    </row>
    <row r="59" spans="1:5" ht="15" customHeight="1" x14ac:dyDescent="0.2">
      <c r="A59" s="5" t="s">
        <v>65</v>
      </c>
      <c r="B59" s="13">
        <v>0.1</v>
      </c>
      <c r="C59" s="7" t="s">
        <v>20</v>
      </c>
      <c r="D59" s="76" t="s">
        <v>66</v>
      </c>
      <c r="E59" s="2"/>
    </row>
    <row r="60" spans="1:5" ht="15" customHeight="1" x14ac:dyDescent="0.2">
      <c r="A60" s="5" t="s">
        <v>67</v>
      </c>
      <c r="B60" s="13">
        <v>0.1</v>
      </c>
      <c r="C60" s="7" t="s">
        <v>20</v>
      </c>
      <c r="D60" s="77"/>
      <c r="E60" s="2"/>
    </row>
    <row r="61" spans="1:5" ht="15" customHeight="1" thickBot="1" x14ac:dyDescent="0.25">
      <c r="A61" s="5" t="s">
        <v>68</v>
      </c>
      <c r="B61" s="13">
        <v>0.15</v>
      </c>
      <c r="C61" s="7" t="s">
        <v>20</v>
      </c>
      <c r="D61" s="77"/>
      <c r="E61" s="2"/>
    </row>
    <row r="62" spans="1:5" ht="15" customHeight="1" x14ac:dyDescent="0.2">
      <c r="A62" s="2"/>
      <c r="B62" s="2"/>
      <c r="C62" s="2"/>
      <c r="D62" s="77"/>
      <c r="E62" s="2"/>
    </row>
    <row r="63" spans="1:5" ht="19.5" customHeight="1" x14ac:dyDescent="0.2">
      <c r="A63" s="96" t="s">
        <v>207</v>
      </c>
      <c r="B63" s="96"/>
      <c r="C63" s="96"/>
      <c r="D63" s="96"/>
      <c r="E63" s="2"/>
    </row>
    <row r="64" spans="1:5" ht="15" customHeight="1" x14ac:dyDescent="0.2">
      <c r="A64" s="5" t="s">
        <v>210</v>
      </c>
      <c r="B64" s="13">
        <v>0.16</v>
      </c>
      <c r="C64" s="7" t="s">
        <v>20</v>
      </c>
      <c r="D64" s="76" t="s">
        <v>251</v>
      </c>
      <c r="E64" s="2"/>
    </row>
    <row r="65" spans="1:5" ht="15" customHeight="1" x14ac:dyDescent="0.2">
      <c r="A65" s="5" t="s">
        <v>69</v>
      </c>
      <c r="B65" s="13">
        <v>0.4</v>
      </c>
      <c r="C65" s="7" t="s">
        <v>20</v>
      </c>
      <c r="D65" s="76" t="s">
        <v>70</v>
      </c>
      <c r="E65" s="2"/>
    </row>
    <row r="66" spans="1:5" ht="15" customHeight="1" x14ac:dyDescent="0.2">
      <c r="A66" s="5" t="s">
        <v>71</v>
      </c>
      <c r="B66" s="6">
        <v>45000</v>
      </c>
      <c r="C66" s="7" t="s">
        <v>30</v>
      </c>
      <c r="D66" s="77"/>
      <c r="E66" s="2"/>
    </row>
    <row r="67" spans="1:5" ht="15" customHeight="1" x14ac:dyDescent="0.2">
      <c r="A67" s="5" t="s">
        <v>72</v>
      </c>
      <c r="B67" s="6">
        <v>15000</v>
      </c>
      <c r="C67" s="7" t="s">
        <v>28</v>
      </c>
      <c r="D67" s="77"/>
      <c r="E67" s="2"/>
    </row>
    <row r="68" spans="1:5" ht="15" customHeight="1" x14ac:dyDescent="0.2">
      <c r="A68" s="5" t="s">
        <v>73</v>
      </c>
      <c r="B68" s="6">
        <v>70000</v>
      </c>
      <c r="C68" s="7" t="s">
        <v>30</v>
      </c>
      <c r="D68" s="77"/>
      <c r="E68" s="2"/>
    </row>
    <row r="69" spans="1:5" ht="15" customHeight="1" x14ac:dyDescent="0.2">
      <c r="A69" s="5" t="s">
        <v>74</v>
      </c>
      <c r="B69" s="6">
        <v>50000</v>
      </c>
      <c r="C69" s="7" t="s">
        <v>30</v>
      </c>
      <c r="D69" s="77"/>
      <c r="E69" s="2"/>
    </row>
    <row r="70" spans="1:5" ht="15" customHeight="1" x14ac:dyDescent="0.2">
      <c r="A70" s="5" t="s">
        <v>75</v>
      </c>
      <c r="B70" s="6">
        <v>45000</v>
      </c>
      <c r="C70" s="7" t="s">
        <v>30</v>
      </c>
      <c r="D70" s="77"/>
      <c r="E70" s="2"/>
    </row>
    <row r="71" spans="1:5" ht="15" customHeight="1" x14ac:dyDescent="0.2">
      <c r="A71" s="5" t="s">
        <v>244</v>
      </c>
      <c r="B71" s="6">
        <v>65000</v>
      </c>
      <c r="C71" s="7" t="s">
        <v>30</v>
      </c>
      <c r="D71" s="77"/>
      <c r="E71" s="2"/>
    </row>
    <row r="72" spans="1:5" ht="15" customHeight="1" x14ac:dyDescent="0.2">
      <c r="A72" s="5" t="s">
        <v>76</v>
      </c>
      <c r="B72" s="6">
        <v>100000</v>
      </c>
      <c r="C72" s="7" t="s">
        <v>30</v>
      </c>
      <c r="D72" s="77"/>
      <c r="E72" s="2"/>
    </row>
    <row r="73" spans="1:5" ht="15" customHeight="1" x14ac:dyDescent="0.2">
      <c r="A73" s="5" t="s">
        <v>77</v>
      </c>
      <c r="B73" s="6">
        <v>120000</v>
      </c>
      <c r="C73" s="7" t="s">
        <v>30</v>
      </c>
      <c r="D73" s="77"/>
      <c r="E73" s="2"/>
    </row>
    <row r="74" spans="1:5" ht="15" customHeight="1" x14ac:dyDescent="0.2">
      <c r="A74" s="2"/>
      <c r="B74" s="2"/>
      <c r="C74" s="2"/>
      <c r="D74" s="77"/>
      <c r="E74" s="2"/>
    </row>
    <row r="75" spans="1:5" ht="19.5" customHeight="1" x14ac:dyDescent="0.2">
      <c r="A75" s="96" t="s">
        <v>208</v>
      </c>
      <c r="B75" s="96"/>
      <c r="C75" s="96"/>
      <c r="D75" s="96"/>
      <c r="E75" s="2"/>
    </row>
    <row r="76" spans="1:5" ht="15" customHeight="1" x14ac:dyDescent="0.2">
      <c r="A76" s="5" t="s">
        <v>211</v>
      </c>
      <c r="B76" s="6">
        <v>8000</v>
      </c>
      <c r="C76" s="7" t="s">
        <v>28</v>
      </c>
      <c r="D76" s="76" t="s">
        <v>248</v>
      </c>
      <c r="E76" s="2"/>
    </row>
    <row r="77" spans="1:5" ht="15" customHeight="1" x14ac:dyDescent="0.2">
      <c r="A77" s="5" t="s">
        <v>78</v>
      </c>
      <c r="B77" s="13">
        <v>0.27</v>
      </c>
      <c r="C77" s="7" t="s">
        <v>20</v>
      </c>
      <c r="D77" s="77"/>
      <c r="E77" s="2"/>
    </row>
    <row r="78" spans="1:5" ht="15" customHeight="1" x14ac:dyDescent="0.2">
      <c r="A78" s="5" t="s">
        <v>79</v>
      </c>
      <c r="B78" s="11">
        <v>4</v>
      </c>
      <c r="C78" s="7" t="s">
        <v>80</v>
      </c>
      <c r="D78" s="76" t="s">
        <v>81</v>
      </c>
      <c r="E78" s="2"/>
    </row>
    <row r="79" spans="1:5" ht="15" customHeight="1" x14ac:dyDescent="0.2">
      <c r="A79" s="5" t="s">
        <v>82</v>
      </c>
      <c r="B79" s="6">
        <v>5500</v>
      </c>
      <c r="C79" s="7" t="s">
        <v>28</v>
      </c>
      <c r="D79" s="77"/>
      <c r="E79" s="2"/>
    </row>
    <row r="80" spans="1:5" ht="15" customHeight="1" x14ac:dyDescent="0.2">
      <c r="A80" s="5" t="s">
        <v>83</v>
      </c>
      <c r="B80" s="13">
        <v>0.27</v>
      </c>
      <c r="C80" s="7" t="s">
        <v>20</v>
      </c>
      <c r="D80" s="77"/>
      <c r="E80" s="2"/>
    </row>
    <row r="81" spans="1:5" ht="15" customHeight="1" x14ac:dyDescent="0.2">
      <c r="A81" s="2"/>
      <c r="B81" s="2"/>
      <c r="C81" s="2"/>
      <c r="D81" s="77"/>
      <c r="E81" s="2"/>
    </row>
    <row r="82" spans="1:5" ht="19.5" customHeight="1" x14ac:dyDescent="0.2">
      <c r="A82" s="96" t="s">
        <v>209</v>
      </c>
      <c r="B82" s="96"/>
      <c r="C82" s="96"/>
      <c r="D82" s="96"/>
      <c r="E82" s="2"/>
    </row>
    <row r="83" spans="1:5" ht="15" customHeight="1" x14ac:dyDescent="0.2">
      <c r="A83" s="5" t="s">
        <v>84</v>
      </c>
      <c r="B83" s="6">
        <v>150000</v>
      </c>
      <c r="C83" s="7" t="s">
        <v>11</v>
      </c>
      <c r="D83" s="77"/>
      <c r="E83" s="2"/>
    </row>
    <row r="84" spans="1:5" ht="15" customHeight="1" x14ac:dyDescent="0.2">
      <c r="A84" s="5" t="s">
        <v>85</v>
      </c>
      <c r="B84" s="6">
        <v>100000</v>
      </c>
      <c r="C84" s="7" t="s">
        <v>11</v>
      </c>
      <c r="D84" s="77"/>
      <c r="E84" s="2"/>
    </row>
    <row r="85" spans="1:5" ht="15" customHeight="1" x14ac:dyDescent="0.2">
      <c r="A85" s="5" t="s">
        <v>86</v>
      </c>
      <c r="B85" s="6">
        <v>25000</v>
      </c>
      <c r="C85" s="7" t="s">
        <v>11</v>
      </c>
      <c r="D85" s="77"/>
      <c r="E85" s="2"/>
    </row>
    <row r="86" spans="1:5" ht="15" customHeight="1" x14ac:dyDescent="0.2">
      <c r="A86" s="5" t="s">
        <v>87</v>
      </c>
      <c r="B86" s="6">
        <v>1800</v>
      </c>
      <c r="C86" s="7" t="s">
        <v>11</v>
      </c>
      <c r="D86" s="77"/>
      <c r="E86" s="2"/>
    </row>
    <row r="87" spans="1:5" ht="15" customHeight="1" x14ac:dyDescent="0.2">
      <c r="A87" s="5" t="s">
        <v>88</v>
      </c>
      <c r="B87" s="6">
        <v>0</v>
      </c>
      <c r="C87" s="7" t="s">
        <v>11</v>
      </c>
      <c r="D87" s="77"/>
      <c r="E87" s="2"/>
    </row>
    <row r="88" spans="1:5" ht="15" customHeight="1" x14ac:dyDescent="0.2">
      <c r="A88" s="8" t="s">
        <v>89</v>
      </c>
      <c r="B88" s="9">
        <v>0</v>
      </c>
      <c r="C88" s="10" t="s">
        <v>11</v>
      </c>
      <c r="D88" s="77"/>
      <c r="E88" s="2"/>
    </row>
    <row r="89" spans="1:5" ht="15" customHeight="1" x14ac:dyDescent="0.2">
      <c r="A89" s="5" t="s">
        <v>90</v>
      </c>
      <c r="B89" s="6">
        <v>100000</v>
      </c>
      <c r="C89" s="7" t="s">
        <v>11</v>
      </c>
      <c r="D89" s="76" t="s">
        <v>91</v>
      </c>
      <c r="E89" s="2"/>
    </row>
    <row r="90" spans="1:5" ht="15" customHeight="1" x14ac:dyDescent="0.2">
      <c r="A90" s="5" t="s">
        <v>92</v>
      </c>
      <c r="B90" s="6">
        <v>50000</v>
      </c>
      <c r="C90" s="7" t="s">
        <v>11</v>
      </c>
      <c r="D90" s="76" t="s">
        <v>252</v>
      </c>
      <c r="E90" s="2"/>
    </row>
    <row r="91" spans="1:5" ht="15" customHeight="1" x14ac:dyDescent="0.2">
      <c r="A91" s="2"/>
      <c r="B91" s="2"/>
      <c r="C91" s="2"/>
      <c r="D91" s="77"/>
      <c r="E91" s="2"/>
    </row>
    <row r="92" spans="1:5" ht="19.5" customHeight="1" x14ac:dyDescent="0.2">
      <c r="A92" s="96" t="s">
        <v>212</v>
      </c>
      <c r="B92" s="96"/>
      <c r="C92" s="96"/>
      <c r="D92" s="96"/>
      <c r="E92" s="2"/>
    </row>
    <row r="93" spans="1:5" ht="15" customHeight="1" x14ac:dyDescent="0.2">
      <c r="A93" s="5" t="s">
        <v>93</v>
      </c>
      <c r="B93" s="11">
        <v>5</v>
      </c>
      <c r="C93" s="7" t="s">
        <v>26</v>
      </c>
      <c r="D93" s="77"/>
      <c r="E93" s="2"/>
    </row>
    <row r="94" spans="1:5" ht="15" customHeight="1" x14ac:dyDescent="0.2">
      <c r="A94" s="5" t="s">
        <v>94</v>
      </c>
      <c r="B94" s="11">
        <v>5</v>
      </c>
      <c r="C94" s="7" t="s">
        <v>26</v>
      </c>
      <c r="D94" s="77"/>
      <c r="E94" s="2"/>
    </row>
    <row r="95" spans="1:5" ht="15" customHeight="1" x14ac:dyDescent="0.2">
      <c r="A95" s="5" t="s">
        <v>95</v>
      </c>
      <c r="B95" s="11">
        <v>3</v>
      </c>
      <c r="C95" s="7" t="s">
        <v>26</v>
      </c>
      <c r="D95" s="77"/>
      <c r="E95" s="2"/>
    </row>
    <row r="96" spans="1:5" ht="15" customHeight="1" x14ac:dyDescent="0.2">
      <c r="A96" s="5" t="s">
        <v>96</v>
      </c>
      <c r="B96" s="11">
        <v>5</v>
      </c>
      <c r="C96" s="7" t="s">
        <v>26</v>
      </c>
      <c r="D96" s="77"/>
      <c r="E96" s="2"/>
    </row>
    <row r="97" spans="1:5" ht="15" customHeight="1" x14ac:dyDescent="0.2">
      <c r="A97" s="8" t="s">
        <v>97</v>
      </c>
      <c r="B97" s="9">
        <f>ROUND(B83/B93+B84/B94+B85/B95+(B86+B87)/B96,0)</f>
        <v>58693</v>
      </c>
      <c r="C97" s="10" t="s">
        <v>30</v>
      </c>
      <c r="D97" s="77"/>
      <c r="E97" s="2"/>
    </row>
    <row r="98" spans="1:5" ht="15" customHeight="1" x14ac:dyDescent="0.2">
      <c r="A98" s="2"/>
      <c r="B98" s="2"/>
      <c r="C98" s="2"/>
      <c r="D98" s="77"/>
      <c r="E98" s="2"/>
    </row>
    <row r="99" spans="1:5" ht="19.5" customHeight="1" x14ac:dyDescent="0.2">
      <c r="A99" s="96" t="s">
        <v>213</v>
      </c>
      <c r="B99" s="96"/>
      <c r="C99" s="96"/>
      <c r="D99" s="96"/>
      <c r="E99" s="2"/>
    </row>
    <row r="100" spans="1:5" ht="15" customHeight="1" x14ac:dyDescent="0.2">
      <c r="A100" s="5" t="s">
        <v>98</v>
      </c>
      <c r="B100" s="11">
        <v>20</v>
      </c>
      <c r="C100" s="7" t="s">
        <v>26</v>
      </c>
      <c r="D100" s="77"/>
      <c r="E100" s="2"/>
    </row>
    <row r="101" spans="1:5" ht="15" customHeight="1" x14ac:dyDescent="0.2">
      <c r="A101" s="8" t="s">
        <v>99</v>
      </c>
      <c r="B101" s="9">
        <f>B4+B6+B5</f>
        <v>6200000</v>
      </c>
      <c r="C101" s="10" t="s">
        <v>11</v>
      </c>
      <c r="D101" s="77"/>
      <c r="E101" s="2"/>
    </row>
    <row r="102" spans="1:5" ht="15" customHeight="1" x14ac:dyDescent="0.2">
      <c r="A102" s="8" t="s">
        <v>100</v>
      </c>
      <c r="B102" s="9">
        <f>ROUND(B101/B100,0)</f>
        <v>310000</v>
      </c>
      <c r="C102" s="10" t="s">
        <v>30</v>
      </c>
      <c r="D102" s="77"/>
      <c r="E102" s="2"/>
    </row>
    <row r="103" spans="1:5" ht="15" customHeight="1" x14ac:dyDescent="0.2">
      <c r="A103" s="2"/>
      <c r="B103" s="2"/>
      <c r="C103" s="2"/>
      <c r="D103" s="77"/>
      <c r="E103" s="2"/>
    </row>
    <row r="104" spans="1:5" ht="15" customHeight="1" x14ac:dyDescent="0.2">
      <c r="A104" s="2"/>
      <c r="B104" s="2"/>
      <c r="C104" s="2"/>
      <c r="D104" s="77"/>
      <c r="E104" s="2"/>
    </row>
    <row r="105" spans="1:5" ht="15" customHeight="1" x14ac:dyDescent="0.2">
      <c r="A105" s="2"/>
      <c r="B105" s="2"/>
      <c r="C105" s="2"/>
      <c r="D105" s="77"/>
      <c r="E105" s="2"/>
    </row>
    <row r="106" spans="1:5" ht="15" customHeight="1" x14ac:dyDescent="0.2">
      <c r="A106" s="2"/>
      <c r="B106" s="2"/>
      <c r="C106" s="2"/>
      <c r="D106" s="77"/>
      <c r="E106" s="2"/>
    </row>
    <row r="107" spans="1:5" ht="15" customHeight="1" x14ac:dyDescent="0.2">
      <c r="A107" s="2"/>
      <c r="B107" s="2"/>
      <c r="C107" s="2"/>
      <c r="D107" s="77"/>
      <c r="E107" s="2"/>
    </row>
    <row r="108" spans="1:5" ht="15" customHeight="1" x14ac:dyDescent="0.2">
      <c r="A108" s="2"/>
      <c r="B108" s="2"/>
      <c r="C108" s="2"/>
      <c r="D108" s="77"/>
      <c r="E108" s="2"/>
    </row>
  </sheetData>
  <mergeCells count="13">
    <mergeCell ref="A82:D82"/>
    <mergeCell ref="A92:D92"/>
    <mergeCell ref="A99:D99"/>
    <mergeCell ref="A34:D34"/>
    <mergeCell ref="A50:D50"/>
    <mergeCell ref="A58:D58"/>
    <mergeCell ref="A63:D63"/>
    <mergeCell ref="A75:D75"/>
    <mergeCell ref="A1:D1"/>
    <mergeCell ref="A3:D3"/>
    <mergeCell ref="A11:D11"/>
    <mergeCell ref="A22:D22"/>
    <mergeCell ref="A28:D28"/>
  </mergeCells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522B"/>
    <pageSetUpPr fitToPage="1"/>
  </sheetPr>
  <dimension ref="A1:AU59"/>
  <sheetViews>
    <sheetView topLeftCell="H2" zoomScaleNormal="100" workbookViewId="0">
      <selection activeCell="K23" sqref="K23"/>
    </sheetView>
  </sheetViews>
  <sheetFormatPr baseColWidth="10" defaultColWidth="8.6640625" defaultRowHeight="15" x14ac:dyDescent="0.2"/>
  <cols>
    <col min="1" max="1" width="39" style="1" customWidth="1"/>
    <col min="2" max="2" width="4.33203125" style="1" customWidth="1"/>
    <col min="3" max="14" width="9.5" style="1" customWidth="1"/>
    <col min="15" max="15" width="12.6640625" style="1" customWidth="1"/>
    <col min="16" max="16" width="6.5" style="1" customWidth="1"/>
    <col min="17" max="47" width="9.5" style="1" customWidth="1"/>
  </cols>
  <sheetData>
    <row r="1" spans="1:45" ht="25.5" customHeight="1" x14ac:dyDescent="0.2">
      <c r="A1" s="95" t="s">
        <v>233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2"/>
      <c r="AS1" s="2"/>
    </row>
    <row r="2" spans="1:45" ht="27.75" customHeight="1" x14ac:dyDescent="0.2">
      <c r="A2" s="98" t="s">
        <v>101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2"/>
      <c r="AS2" s="2"/>
    </row>
    <row r="3" spans="1:45" ht="21.75" customHeight="1" x14ac:dyDescent="0.2">
      <c r="A3" s="2"/>
      <c r="B3" s="2"/>
      <c r="C3" s="99" t="s">
        <v>214</v>
      </c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2"/>
      <c r="Q3" s="100" t="s">
        <v>215</v>
      </c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2"/>
      <c r="AE3" s="101" t="s">
        <v>220</v>
      </c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2"/>
      <c r="AS3" s="2"/>
    </row>
    <row r="4" spans="1:45" ht="18" customHeight="1" x14ac:dyDescent="0.2">
      <c r="A4" s="20" t="s">
        <v>102</v>
      </c>
      <c r="B4" s="2"/>
      <c r="C4" s="21" t="s">
        <v>103</v>
      </c>
      <c r="D4" s="21" t="s">
        <v>104</v>
      </c>
      <c r="E4" s="21" t="s">
        <v>105</v>
      </c>
      <c r="F4" s="21" t="s">
        <v>106</v>
      </c>
      <c r="G4" s="21" t="s">
        <v>50</v>
      </c>
      <c r="H4" s="21" t="s">
        <v>51</v>
      </c>
      <c r="I4" s="21" t="s">
        <v>107</v>
      </c>
      <c r="J4" s="21" t="s">
        <v>53</v>
      </c>
      <c r="K4" s="21" t="s">
        <v>108</v>
      </c>
      <c r="L4" s="21" t="s">
        <v>109</v>
      </c>
      <c r="M4" s="21" t="s">
        <v>110</v>
      </c>
      <c r="N4" s="21" t="s">
        <v>111</v>
      </c>
      <c r="O4" s="21" t="s">
        <v>112</v>
      </c>
      <c r="P4" s="2"/>
      <c r="Q4" s="22" t="s">
        <v>103</v>
      </c>
      <c r="R4" s="22" t="s">
        <v>104</v>
      </c>
      <c r="S4" s="22" t="s">
        <v>105</v>
      </c>
      <c r="T4" s="22" t="s">
        <v>106</v>
      </c>
      <c r="U4" s="22" t="s">
        <v>50</v>
      </c>
      <c r="V4" s="22" t="s">
        <v>51</v>
      </c>
      <c r="W4" s="22" t="s">
        <v>107</v>
      </c>
      <c r="X4" s="22" t="s">
        <v>53</v>
      </c>
      <c r="Y4" s="22" t="s">
        <v>108</v>
      </c>
      <c r="Z4" s="22" t="s">
        <v>109</v>
      </c>
      <c r="AA4" s="22" t="s">
        <v>110</v>
      </c>
      <c r="AB4" s="22" t="s">
        <v>111</v>
      </c>
      <c r="AC4" s="22" t="s">
        <v>112</v>
      </c>
      <c r="AD4" s="2"/>
      <c r="AE4" s="23" t="s">
        <v>103</v>
      </c>
      <c r="AF4" s="23" t="s">
        <v>104</v>
      </c>
      <c r="AG4" s="23" t="s">
        <v>105</v>
      </c>
      <c r="AH4" s="23" t="s">
        <v>106</v>
      </c>
      <c r="AI4" s="23" t="s">
        <v>50</v>
      </c>
      <c r="AJ4" s="23" t="s">
        <v>51</v>
      </c>
      <c r="AK4" s="23" t="s">
        <v>107</v>
      </c>
      <c r="AL4" s="23" t="s">
        <v>53</v>
      </c>
      <c r="AM4" s="23" t="s">
        <v>108</v>
      </c>
      <c r="AN4" s="23" t="s">
        <v>109</v>
      </c>
      <c r="AO4" s="23" t="s">
        <v>110</v>
      </c>
      <c r="AP4" s="23" t="s">
        <v>111</v>
      </c>
      <c r="AQ4" s="23" t="s">
        <v>112</v>
      </c>
      <c r="AR4" s="2"/>
      <c r="AS4" s="2"/>
    </row>
    <row r="5" spans="1:45" ht="18" customHeight="1" x14ac:dyDescent="0.2">
      <c r="A5" s="102" t="s">
        <v>216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2"/>
      <c r="AS5" s="2"/>
    </row>
    <row r="6" spans="1:45" ht="15.75" customHeight="1" x14ac:dyDescent="0.2">
      <c r="A6" s="24" t="s">
        <v>113</v>
      </c>
      <c r="B6" s="2"/>
      <c r="C6" s="25">
        <f>'① Hypothèses'!B24</f>
        <v>27761</v>
      </c>
      <c r="D6" s="25">
        <f>'① Hypothèses'!B24</f>
        <v>27761</v>
      </c>
      <c r="E6" s="25">
        <f>'① Hypothèses'!B24</f>
        <v>27761</v>
      </c>
      <c r="F6" s="25">
        <f>'① Hypothèses'!B24</f>
        <v>27761</v>
      </c>
      <c r="G6" s="25">
        <f>'① Hypothèses'!B24</f>
        <v>27761</v>
      </c>
      <c r="H6" s="25">
        <f>'① Hypothèses'!B24</f>
        <v>27761</v>
      </c>
      <c r="I6" s="25">
        <f>'① Hypothèses'!B24</f>
        <v>27761</v>
      </c>
      <c r="J6" s="25">
        <f>'① Hypothèses'!B24</f>
        <v>27761</v>
      </c>
      <c r="K6" s="25">
        <f>'① Hypothèses'!B24</f>
        <v>27761</v>
      </c>
      <c r="L6" s="25">
        <f>'① Hypothèses'!B24</f>
        <v>27761</v>
      </c>
      <c r="M6" s="25">
        <f>'① Hypothèses'!B24</f>
        <v>27761</v>
      </c>
      <c r="N6" s="25">
        <f>'① Hypothèses'!B24</f>
        <v>27761</v>
      </c>
      <c r="O6" s="26">
        <f>SUM(C6,D6,E6,F6,G6,H6,I6,J6,K6,L6,M6,N6)</f>
        <v>333132</v>
      </c>
      <c r="P6" s="2"/>
      <c r="Q6" s="25">
        <f>'① Hypothèses'!B24</f>
        <v>27761</v>
      </c>
      <c r="R6" s="25">
        <f>'① Hypothèses'!B24</f>
        <v>27761</v>
      </c>
      <c r="S6" s="25">
        <f>'① Hypothèses'!B24</f>
        <v>27761</v>
      </c>
      <c r="T6" s="25">
        <f>'① Hypothèses'!B24</f>
        <v>27761</v>
      </c>
      <c r="U6" s="25">
        <f>'① Hypothèses'!B24</f>
        <v>27761</v>
      </c>
      <c r="V6" s="25">
        <f>'① Hypothèses'!B24</f>
        <v>27761</v>
      </c>
      <c r="W6" s="25">
        <f>'① Hypothèses'!B24</f>
        <v>27761</v>
      </c>
      <c r="X6" s="25">
        <f>'① Hypothèses'!B24</f>
        <v>27761</v>
      </c>
      <c r="Y6" s="25">
        <f>'① Hypothèses'!B24</f>
        <v>27761</v>
      </c>
      <c r="Z6" s="25">
        <f>'① Hypothèses'!B24</f>
        <v>27761</v>
      </c>
      <c r="AA6" s="25">
        <f>'① Hypothèses'!B24</f>
        <v>27761</v>
      </c>
      <c r="AB6" s="25">
        <f>'① Hypothèses'!B24</f>
        <v>27761</v>
      </c>
      <c r="AC6" s="26">
        <f>SUM(Q6,R6,S6,T6,U6,V6,W6,X6,Y6,Z6,AA6,AB6)</f>
        <v>333132</v>
      </c>
      <c r="AD6" s="2"/>
      <c r="AE6" s="25">
        <f>'① Hypothèses'!B24</f>
        <v>27761</v>
      </c>
      <c r="AF6" s="25">
        <f>'① Hypothèses'!B24</f>
        <v>27761</v>
      </c>
      <c r="AG6" s="25">
        <f>'① Hypothèses'!B24</f>
        <v>27761</v>
      </c>
      <c r="AH6" s="25">
        <f>'① Hypothèses'!B24</f>
        <v>27761</v>
      </c>
      <c r="AI6" s="25">
        <f>'① Hypothèses'!B24</f>
        <v>27761</v>
      </c>
      <c r="AJ6" s="25">
        <f>'① Hypothèses'!B24</f>
        <v>27761</v>
      </c>
      <c r="AK6" s="25">
        <f>'① Hypothèses'!B24</f>
        <v>27761</v>
      </c>
      <c r="AL6" s="25">
        <f>'① Hypothèses'!B24</f>
        <v>27761</v>
      </c>
      <c r="AM6" s="25">
        <f>'① Hypothèses'!B24</f>
        <v>27761</v>
      </c>
      <c r="AN6" s="25">
        <f>'① Hypothèses'!B24</f>
        <v>27761</v>
      </c>
      <c r="AO6" s="25">
        <f>'① Hypothèses'!B24</f>
        <v>27761</v>
      </c>
      <c r="AP6" s="25">
        <f>'① Hypothèses'!B24</f>
        <v>27761</v>
      </c>
      <c r="AQ6" s="26">
        <f>SUM(AE6,AF6,AG6,AH6,AI6,AJ6,AK6,AL6,AM6,AN6,AO6,AP6)</f>
        <v>333132</v>
      </c>
      <c r="AR6" s="2"/>
      <c r="AS6" s="2"/>
    </row>
    <row r="7" spans="1:45" ht="15.75" customHeight="1" x14ac:dyDescent="0.2">
      <c r="A7" s="27" t="s">
        <v>114</v>
      </c>
      <c r="B7" s="2"/>
      <c r="C7" s="28">
        <f t="shared" ref="C7:N7" si="0">C6</f>
        <v>27761</v>
      </c>
      <c r="D7" s="28">
        <f t="shared" si="0"/>
        <v>27761</v>
      </c>
      <c r="E7" s="28">
        <f t="shared" si="0"/>
        <v>27761</v>
      </c>
      <c r="F7" s="28">
        <f t="shared" si="0"/>
        <v>27761</v>
      </c>
      <c r="G7" s="28">
        <f t="shared" si="0"/>
        <v>27761</v>
      </c>
      <c r="H7" s="28">
        <f t="shared" si="0"/>
        <v>27761</v>
      </c>
      <c r="I7" s="28">
        <f t="shared" si="0"/>
        <v>27761</v>
      </c>
      <c r="J7" s="28">
        <f t="shared" si="0"/>
        <v>27761</v>
      </c>
      <c r="K7" s="28">
        <f t="shared" si="0"/>
        <v>27761</v>
      </c>
      <c r="L7" s="28">
        <f t="shared" si="0"/>
        <v>27761</v>
      </c>
      <c r="M7" s="28">
        <f t="shared" si="0"/>
        <v>27761</v>
      </c>
      <c r="N7" s="28">
        <f t="shared" si="0"/>
        <v>27761</v>
      </c>
      <c r="O7" s="29">
        <f>SUM(C7,D7,E7,F7,G7,H7,I7,J7,K7,L7,M7,N7)</f>
        <v>333132</v>
      </c>
      <c r="P7" s="2"/>
      <c r="Q7" s="28">
        <f t="shared" ref="Q7:AB7" si="1">Q6</f>
        <v>27761</v>
      </c>
      <c r="R7" s="28">
        <f t="shared" si="1"/>
        <v>27761</v>
      </c>
      <c r="S7" s="28">
        <f t="shared" si="1"/>
        <v>27761</v>
      </c>
      <c r="T7" s="28">
        <f t="shared" si="1"/>
        <v>27761</v>
      </c>
      <c r="U7" s="28">
        <f t="shared" si="1"/>
        <v>27761</v>
      </c>
      <c r="V7" s="28">
        <f t="shared" si="1"/>
        <v>27761</v>
      </c>
      <c r="W7" s="28">
        <f t="shared" si="1"/>
        <v>27761</v>
      </c>
      <c r="X7" s="28">
        <f t="shared" si="1"/>
        <v>27761</v>
      </c>
      <c r="Y7" s="28">
        <f t="shared" si="1"/>
        <v>27761</v>
      </c>
      <c r="Z7" s="28">
        <f t="shared" si="1"/>
        <v>27761</v>
      </c>
      <c r="AA7" s="28">
        <f t="shared" si="1"/>
        <v>27761</v>
      </c>
      <c r="AB7" s="28">
        <f t="shared" si="1"/>
        <v>27761</v>
      </c>
      <c r="AC7" s="29">
        <f>SUM(Q7,R7,S7,T7,U7,V7,W7,X7,Y7,Z7,AA7,AB7)</f>
        <v>333132</v>
      </c>
      <c r="AD7" s="2"/>
      <c r="AE7" s="28">
        <f t="shared" ref="AE7:AP7" si="2">AE6</f>
        <v>27761</v>
      </c>
      <c r="AF7" s="28">
        <f t="shared" si="2"/>
        <v>27761</v>
      </c>
      <c r="AG7" s="28">
        <f t="shared" si="2"/>
        <v>27761</v>
      </c>
      <c r="AH7" s="28">
        <f t="shared" si="2"/>
        <v>27761</v>
      </c>
      <c r="AI7" s="28">
        <f t="shared" si="2"/>
        <v>27761</v>
      </c>
      <c r="AJ7" s="28">
        <f t="shared" si="2"/>
        <v>27761</v>
      </c>
      <c r="AK7" s="28">
        <f t="shared" si="2"/>
        <v>27761</v>
      </c>
      <c r="AL7" s="28">
        <f t="shared" si="2"/>
        <v>27761</v>
      </c>
      <c r="AM7" s="28">
        <f t="shared" si="2"/>
        <v>27761</v>
      </c>
      <c r="AN7" s="28">
        <f t="shared" si="2"/>
        <v>27761</v>
      </c>
      <c r="AO7" s="28">
        <f t="shared" si="2"/>
        <v>27761</v>
      </c>
      <c r="AP7" s="28">
        <f t="shared" si="2"/>
        <v>27761</v>
      </c>
      <c r="AQ7" s="29">
        <f>SUM(AE7,AF7,AG7,AH7,AI7,AJ7,AK7,AL7,AM7,AN7,AO7,AP7)</f>
        <v>333132</v>
      </c>
      <c r="AR7" s="2"/>
      <c r="AS7" s="2"/>
    </row>
    <row r="8" spans="1:45" ht="18" customHeight="1" x14ac:dyDescent="0.2">
      <c r="A8" s="103" t="s">
        <v>217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2"/>
      <c r="AS8" s="2"/>
    </row>
    <row r="9" spans="1:45" ht="15.75" customHeight="1" x14ac:dyDescent="0.2">
      <c r="A9" s="30" t="s">
        <v>115</v>
      </c>
      <c r="B9" s="2"/>
      <c r="C9" s="31">
        <f>'① Hypothèses'!B17</f>
        <v>22209</v>
      </c>
      <c r="D9" s="31">
        <f>'① Hypothèses'!B17</f>
        <v>22209</v>
      </c>
      <c r="E9" s="31">
        <f>'① Hypothèses'!B17</f>
        <v>22209</v>
      </c>
      <c r="F9" s="31">
        <f>'① Hypothèses'!B17</f>
        <v>22209</v>
      </c>
      <c r="G9" s="31">
        <f>'① Hypothèses'!B17</f>
        <v>22209</v>
      </c>
      <c r="H9" s="31">
        <f>'① Hypothèses'!B17</f>
        <v>22209</v>
      </c>
      <c r="I9" s="31">
        <f>'① Hypothèses'!B17</f>
        <v>22209</v>
      </c>
      <c r="J9" s="31">
        <f>'① Hypothèses'!B17</f>
        <v>22209</v>
      </c>
      <c r="K9" s="31">
        <f>'① Hypothèses'!B17</f>
        <v>22209</v>
      </c>
      <c r="L9" s="31">
        <f>'① Hypothèses'!B17</f>
        <v>22209</v>
      </c>
      <c r="M9" s="31">
        <f>'① Hypothèses'!B17</f>
        <v>22209</v>
      </c>
      <c r="N9" s="31">
        <f>'① Hypothèses'!B17</f>
        <v>22209</v>
      </c>
      <c r="O9" s="32">
        <f>SUM(C9,D9,E9,F9,G9,H9,I9,J9,K9,L9,M9,N9)</f>
        <v>266508</v>
      </c>
      <c r="P9" s="2"/>
      <c r="Q9" s="31">
        <f>'① Hypothèses'!B17</f>
        <v>22209</v>
      </c>
      <c r="R9" s="31">
        <f>'① Hypothèses'!B17</f>
        <v>22209</v>
      </c>
      <c r="S9" s="31">
        <f>'① Hypothèses'!B17</f>
        <v>22209</v>
      </c>
      <c r="T9" s="31">
        <f>'① Hypothèses'!B17</f>
        <v>22209</v>
      </c>
      <c r="U9" s="31">
        <f>'① Hypothèses'!B17</f>
        <v>22209</v>
      </c>
      <c r="V9" s="31">
        <f>'① Hypothèses'!B17</f>
        <v>22209</v>
      </c>
      <c r="W9" s="31">
        <f>'① Hypothèses'!B17</f>
        <v>22209</v>
      </c>
      <c r="X9" s="31">
        <f>'① Hypothèses'!B17</f>
        <v>22209</v>
      </c>
      <c r="Y9" s="31">
        <f>'① Hypothèses'!B17</f>
        <v>22209</v>
      </c>
      <c r="Z9" s="31">
        <f>'① Hypothèses'!B17</f>
        <v>22209</v>
      </c>
      <c r="AA9" s="31">
        <f>'① Hypothèses'!B17</f>
        <v>22209</v>
      </c>
      <c r="AB9" s="31">
        <f>'① Hypothèses'!B17</f>
        <v>22209</v>
      </c>
      <c r="AC9" s="32">
        <f>SUM(Q9,R9,S9,T9,U9,V9,W9,X9,Y9,Z9,AA9,AB9)</f>
        <v>266508</v>
      </c>
      <c r="AD9" s="2"/>
      <c r="AE9" s="31">
        <f>'① Hypothèses'!B17</f>
        <v>22209</v>
      </c>
      <c r="AF9" s="31">
        <f>'① Hypothèses'!B17</f>
        <v>22209</v>
      </c>
      <c r="AG9" s="31">
        <f>'① Hypothèses'!B17</f>
        <v>22209</v>
      </c>
      <c r="AH9" s="31">
        <f>'① Hypothèses'!B17</f>
        <v>22209</v>
      </c>
      <c r="AI9" s="31">
        <f>'① Hypothèses'!B17</f>
        <v>22209</v>
      </c>
      <c r="AJ9" s="31">
        <f>'① Hypothèses'!B17</f>
        <v>22209</v>
      </c>
      <c r="AK9" s="31">
        <f>'① Hypothèses'!B17</f>
        <v>22209</v>
      </c>
      <c r="AL9" s="31">
        <f>'① Hypothèses'!B17</f>
        <v>22209</v>
      </c>
      <c r="AM9" s="31">
        <f>'① Hypothèses'!B17</f>
        <v>22209</v>
      </c>
      <c r="AN9" s="31">
        <f>'① Hypothèses'!B17</f>
        <v>22209</v>
      </c>
      <c r="AO9" s="31">
        <f>'① Hypothèses'!B17</f>
        <v>22209</v>
      </c>
      <c r="AP9" s="31">
        <f>'① Hypothèses'!B17</f>
        <v>22209</v>
      </c>
      <c r="AQ9" s="32">
        <f>SUM(AE9,AF9,AG9,AH9,AI9,AJ9,AK9,AL9,AM9,AN9,AO9,AP9)</f>
        <v>266508</v>
      </c>
      <c r="AR9" s="2"/>
      <c r="AS9" s="2"/>
    </row>
    <row r="10" spans="1:45" ht="15.75" customHeight="1" x14ac:dyDescent="0.2">
      <c r="A10" s="30" t="s">
        <v>116</v>
      </c>
      <c r="B10" s="2"/>
      <c r="C10" s="81">
        <v>3500</v>
      </c>
      <c r="D10" s="81">
        <v>3500</v>
      </c>
      <c r="E10" s="81">
        <v>3500</v>
      </c>
      <c r="F10" s="81">
        <v>3500</v>
      </c>
      <c r="G10" s="81">
        <v>3500</v>
      </c>
      <c r="H10" s="81">
        <v>3500</v>
      </c>
      <c r="I10" s="81">
        <v>3500</v>
      </c>
      <c r="J10" s="81">
        <v>3500</v>
      </c>
      <c r="K10" s="81">
        <v>3500</v>
      </c>
      <c r="L10" s="81">
        <v>3500</v>
      </c>
      <c r="M10" s="81">
        <v>3500</v>
      </c>
      <c r="N10" s="81">
        <v>3500</v>
      </c>
      <c r="O10" s="40">
        <f>SUM(C10,D10,E10,F10,G10,H10,I10,J10,K10,L10,M10,N10)</f>
        <v>42000</v>
      </c>
      <c r="P10" s="2"/>
      <c r="Q10" s="81">
        <f>3500*1.02</f>
        <v>3570</v>
      </c>
      <c r="R10" s="81">
        <f t="shared" ref="R10:AB10" si="3">3500*1.02</f>
        <v>3570</v>
      </c>
      <c r="S10" s="81">
        <f t="shared" si="3"/>
        <v>3570</v>
      </c>
      <c r="T10" s="81">
        <f t="shared" si="3"/>
        <v>3570</v>
      </c>
      <c r="U10" s="81">
        <f t="shared" si="3"/>
        <v>3570</v>
      </c>
      <c r="V10" s="81">
        <f t="shared" si="3"/>
        <v>3570</v>
      </c>
      <c r="W10" s="81">
        <f t="shared" si="3"/>
        <v>3570</v>
      </c>
      <c r="X10" s="81">
        <f t="shared" si="3"/>
        <v>3570</v>
      </c>
      <c r="Y10" s="81">
        <f t="shared" si="3"/>
        <v>3570</v>
      </c>
      <c r="Z10" s="81">
        <f t="shared" si="3"/>
        <v>3570</v>
      </c>
      <c r="AA10" s="81">
        <f t="shared" si="3"/>
        <v>3570</v>
      </c>
      <c r="AB10" s="81">
        <f t="shared" si="3"/>
        <v>3570</v>
      </c>
      <c r="AC10" s="32">
        <f>SUM(Q10,R10,S10,T10,U10,V10,W10,X10,Y10,Z10,AA10,AB10)</f>
        <v>42840</v>
      </c>
      <c r="AD10" s="2"/>
      <c r="AE10" s="81">
        <f>3500*1.04</f>
        <v>3640</v>
      </c>
      <c r="AF10" s="81">
        <f t="shared" ref="AF10:AP10" si="4">3500*1.04</f>
        <v>3640</v>
      </c>
      <c r="AG10" s="81">
        <f t="shared" si="4"/>
        <v>3640</v>
      </c>
      <c r="AH10" s="81">
        <f t="shared" si="4"/>
        <v>3640</v>
      </c>
      <c r="AI10" s="81">
        <f t="shared" si="4"/>
        <v>3640</v>
      </c>
      <c r="AJ10" s="81">
        <f t="shared" si="4"/>
        <v>3640</v>
      </c>
      <c r="AK10" s="81">
        <f t="shared" si="4"/>
        <v>3640</v>
      </c>
      <c r="AL10" s="81">
        <f t="shared" si="4"/>
        <v>3640</v>
      </c>
      <c r="AM10" s="81">
        <f t="shared" si="4"/>
        <v>3640</v>
      </c>
      <c r="AN10" s="81">
        <f t="shared" si="4"/>
        <v>3640</v>
      </c>
      <c r="AO10" s="81">
        <f t="shared" si="4"/>
        <v>3640</v>
      </c>
      <c r="AP10" s="81">
        <f t="shared" si="4"/>
        <v>3640</v>
      </c>
      <c r="AQ10" s="32">
        <f>SUM(AE10,AF10,AG10,AH10,AI10,AJ10,AK10,AL10,AM10,AN10,AO10,AP10)</f>
        <v>43680</v>
      </c>
      <c r="AR10" s="2"/>
      <c r="AS10" s="2"/>
    </row>
    <row r="11" spans="1:45" ht="15.75" customHeight="1" x14ac:dyDescent="0.2">
      <c r="A11" s="30" t="s">
        <v>117</v>
      </c>
      <c r="B11" s="2"/>
      <c r="C11" s="31">
        <f>ROUND('① Hypothèses'!B102/12,0)</f>
        <v>25833</v>
      </c>
      <c r="D11" s="31">
        <f>ROUND('① Hypothèses'!B102/12,0)</f>
        <v>25833</v>
      </c>
      <c r="E11" s="31">
        <f>ROUND('① Hypothèses'!B102/12,0)</f>
        <v>25833</v>
      </c>
      <c r="F11" s="31">
        <f>ROUND('① Hypothèses'!B102/12,0)</f>
        <v>25833</v>
      </c>
      <c r="G11" s="31">
        <f>ROUND('① Hypothèses'!B102/12,0)</f>
        <v>25833</v>
      </c>
      <c r="H11" s="31">
        <f>ROUND('① Hypothèses'!B102/12,0)</f>
        <v>25833</v>
      </c>
      <c r="I11" s="31">
        <f>ROUND('① Hypothèses'!B102/12,0)</f>
        <v>25833</v>
      </c>
      <c r="J11" s="31">
        <f>ROUND('① Hypothèses'!B102/12,0)</f>
        <v>25833</v>
      </c>
      <c r="K11" s="31">
        <f>ROUND('① Hypothèses'!B102/12,0)</f>
        <v>25833</v>
      </c>
      <c r="L11" s="31">
        <f>ROUND('① Hypothèses'!B102/12,0)</f>
        <v>25833</v>
      </c>
      <c r="M11" s="31">
        <f>ROUND('① Hypothèses'!B102/12,0)</f>
        <v>25833</v>
      </c>
      <c r="N11" s="31">
        <f>ROUND('① Hypothèses'!B102/12,0)</f>
        <v>25833</v>
      </c>
      <c r="O11" s="32">
        <f>SUM(C11,D11,E11,F11,G11,H11,I11,J11,K11,L11,M11,N11)</f>
        <v>309996</v>
      </c>
      <c r="P11" s="2"/>
      <c r="Q11" s="31">
        <f>ROUND('① Hypothèses'!B102/12,0)</f>
        <v>25833</v>
      </c>
      <c r="R11" s="31">
        <f>ROUND('① Hypothèses'!B102/12,0)</f>
        <v>25833</v>
      </c>
      <c r="S11" s="31">
        <f>ROUND('① Hypothèses'!B102/12,0)</f>
        <v>25833</v>
      </c>
      <c r="T11" s="31">
        <f>ROUND('① Hypothèses'!B102/12,0)</f>
        <v>25833</v>
      </c>
      <c r="U11" s="31">
        <f>ROUND('① Hypothèses'!B102/12,0)</f>
        <v>25833</v>
      </c>
      <c r="V11" s="31">
        <f>ROUND('① Hypothèses'!B102/12,0)</f>
        <v>25833</v>
      </c>
      <c r="W11" s="31">
        <f>ROUND('① Hypothèses'!B102/12,0)</f>
        <v>25833</v>
      </c>
      <c r="X11" s="31">
        <f>ROUND('① Hypothèses'!B102/12,0)</f>
        <v>25833</v>
      </c>
      <c r="Y11" s="31">
        <f>ROUND('① Hypothèses'!B102/12,0)</f>
        <v>25833</v>
      </c>
      <c r="Z11" s="31">
        <f>ROUND('① Hypothèses'!B102/12,0)</f>
        <v>25833</v>
      </c>
      <c r="AA11" s="31">
        <f>ROUND('① Hypothèses'!B102/12,0)</f>
        <v>25833</v>
      </c>
      <c r="AB11" s="31">
        <f>ROUND('① Hypothèses'!B102/12,0)</f>
        <v>25833</v>
      </c>
      <c r="AC11" s="32">
        <f>SUM(Q11,R11,S11,T11,U11,V11,W11,X11,Y11,Z11,AA11,AB11)</f>
        <v>309996</v>
      </c>
      <c r="AD11" s="2"/>
      <c r="AE11" s="31">
        <f>ROUND('① Hypothèses'!B102/12,0)</f>
        <v>25833</v>
      </c>
      <c r="AF11" s="31">
        <f>ROUND('① Hypothèses'!B102/12,0)</f>
        <v>25833</v>
      </c>
      <c r="AG11" s="31">
        <f>ROUND('① Hypothèses'!B102/12,0)</f>
        <v>25833</v>
      </c>
      <c r="AH11" s="31">
        <f>ROUND('① Hypothèses'!B102/12,0)</f>
        <v>25833</v>
      </c>
      <c r="AI11" s="31">
        <f>ROUND('① Hypothèses'!B102/12,0)</f>
        <v>25833</v>
      </c>
      <c r="AJ11" s="31">
        <f>ROUND('① Hypothèses'!B102/12,0)</f>
        <v>25833</v>
      </c>
      <c r="AK11" s="31">
        <f>ROUND('① Hypothèses'!B102/12,0)</f>
        <v>25833</v>
      </c>
      <c r="AL11" s="31">
        <f>ROUND('① Hypothèses'!B102/12,0)</f>
        <v>25833</v>
      </c>
      <c r="AM11" s="31">
        <f>ROUND('① Hypothèses'!B102/12,0)</f>
        <v>25833</v>
      </c>
      <c r="AN11" s="31">
        <f>ROUND('① Hypothèses'!B102/12,0)</f>
        <v>25833</v>
      </c>
      <c r="AO11" s="31">
        <f>ROUND('① Hypothèses'!B102/12,0)</f>
        <v>25833</v>
      </c>
      <c r="AP11" s="31">
        <f>ROUND('① Hypothèses'!B102/12,0)</f>
        <v>25833</v>
      </c>
      <c r="AQ11" s="32">
        <f>SUM(AE11,AF11,AG11,AH11,AI11,AJ11,AK11,AL11,AM11,AN11,AO11,AP11)</f>
        <v>309996</v>
      </c>
      <c r="AR11" s="2"/>
      <c r="AS11" s="2"/>
    </row>
    <row r="12" spans="1:45" ht="15.75" customHeight="1" x14ac:dyDescent="0.2">
      <c r="A12" s="33" t="s">
        <v>118</v>
      </c>
      <c r="B12" s="2"/>
      <c r="C12" s="34">
        <f>C9+C10+C11</f>
        <v>51542</v>
      </c>
      <c r="D12" s="34">
        <f t="shared" ref="D12:N12" si="5">D9+D10+D11</f>
        <v>51542</v>
      </c>
      <c r="E12" s="34">
        <f t="shared" si="5"/>
        <v>51542</v>
      </c>
      <c r="F12" s="34">
        <f t="shared" si="5"/>
        <v>51542</v>
      </c>
      <c r="G12" s="34">
        <f t="shared" si="5"/>
        <v>51542</v>
      </c>
      <c r="H12" s="34">
        <f t="shared" si="5"/>
        <v>51542</v>
      </c>
      <c r="I12" s="34">
        <f t="shared" si="5"/>
        <v>51542</v>
      </c>
      <c r="J12" s="34">
        <f t="shared" si="5"/>
        <v>51542</v>
      </c>
      <c r="K12" s="34">
        <f t="shared" si="5"/>
        <v>51542</v>
      </c>
      <c r="L12" s="34">
        <f t="shared" si="5"/>
        <v>51542</v>
      </c>
      <c r="M12" s="34">
        <f t="shared" si="5"/>
        <v>51542</v>
      </c>
      <c r="N12" s="34">
        <f t="shared" si="5"/>
        <v>51542</v>
      </c>
      <c r="O12" s="35">
        <f>SUM(C12,D12,E12,F12,G12,H12,I12,J12,K12,L12,M12,N12)</f>
        <v>618504</v>
      </c>
      <c r="P12" s="2"/>
      <c r="Q12" s="34">
        <f>Q9+Q10+Q11</f>
        <v>51612</v>
      </c>
      <c r="R12" s="34">
        <f t="shared" ref="R12:AB12" si="6">R9+R10+R11</f>
        <v>51612</v>
      </c>
      <c r="S12" s="34">
        <f t="shared" si="6"/>
        <v>51612</v>
      </c>
      <c r="T12" s="34">
        <f t="shared" si="6"/>
        <v>51612</v>
      </c>
      <c r="U12" s="34">
        <f t="shared" si="6"/>
        <v>51612</v>
      </c>
      <c r="V12" s="34">
        <f t="shared" si="6"/>
        <v>51612</v>
      </c>
      <c r="W12" s="34">
        <f t="shared" si="6"/>
        <v>51612</v>
      </c>
      <c r="X12" s="34">
        <f t="shared" si="6"/>
        <v>51612</v>
      </c>
      <c r="Y12" s="34">
        <f t="shared" si="6"/>
        <v>51612</v>
      </c>
      <c r="Z12" s="34">
        <f t="shared" si="6"/>
        <v>51612</v>
      </c>
      <c r="AA12" s="34">
        <f t="shared" si="6"/>
        <v>51612</v>
      </c>
      <c r="AB12" s="34">
        <f t="shared" si="6"/>
        <v>51612</v>
      </c>
      <c r="AC12" s="35">
        <f>SUM(Q12,R12,S12,T12,U12,V12,W12,X12,Y12,Z12,AA12,AB12)</f>
        <v>619344</v>
      </c>
      <c r="AD12" s="2"/>
      <c r="AE12" s="34">
        <f t="shared" ref="AE12:AP12" si="7">AE9+AE10+AE11</f>
        <v>51682</v>
      </c>
      <c r="AF12" s="34">
        <f t="shared" si="7"/>
        <v>51682</v>
      </c>
      <c r="AG12" s="34">
        <f t="shared" si="7"/>
        <v>51682</v>
      </c>
      <c r="AH12" s="34">
        <f t="shared" si="7"/>
        <v>51682</v>
      </c>
      <c r="AI12" s="34">
        <f t="shared" si="7"/>
        <v>51682</v>
      </c>
      <c r="AJ12" s="34">
        <f t="shared" si="7"/>
        <v>51682</v>
      </c>
      <c r="AK12" s="34">
        <f t="shared" si="7"/>
        <v>51682</v>
      </c>
      <c r="AL12" s="34">
        <f t="shared" si="7"/>
        <v>51682</v>
      </c>
      <c r="AM12" s="34">
        <f t="shared" si="7"/>
        <v>51682</v>
      </c>
      <c r="AN12" s="34">
        <f t="shared" si="7"/>
        <v>51682</v>
      </c>
      <c r="AO12" s="34">
        <f t="shared" si="7"/>
        <v>51682</v>
      </c>
      <c r="AP12" s="34">
        <f t="shared" si="7"/>
        <v>51682</v>
      </c>
      <c r="AQ12" s="35">
        <f>SUM(AE12,AF12,AG12,AH12,AI12,AJ12,AK12,AL12,AM12,AN12,AO12,AP12)</f>
        <v>620184</v>
      </c>
      <c r="AR12" s="2"/>
      <c r="AS12" s="2"/>
    </row>
    <row r="13" spans="1:45" ht="18" customHeight="1" x14ac:dyDescent="0.2">
      <c r="A13" s="104" t="s">
        <v>218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2"/>
      <c r="AS13" s="2"/>
    </row>
    <row r="14" spans="1:45" ht="19.5" customHeight="1" x14ac:dyDescent="0.2">
      <c r="A14" s="36" t="s">
        <v>219</v>
      </c>
      <c r="B14" s="2"/>
      <c r="C14" s="37">
        <f>C6-C9-C10</f>
        <v>2052</v>
      </c>
      <c r="D14" s="37">
        <f t="shared" ref="D14:N14" si="8">D6-D9-D10</f>
        <v>2052</v>
      </c>
      <c r="E14" s="37">
        <f t="shared" si="8"/>
        <v>2052</v>
      </c>
      <c r="F14" s="37">
        <f t="shared" si="8"/>
        <v>2052</v>
      </c>
      <c r="G14" s="37">
        <f t="shared" si="8"/>
        <v>2052</v>
      </c>
      <c r="H14" s="37">
        <f t="shared" si="8"/>
        <v>2052</v>
      </c>
      <c r="I14" s="37">
        <f t="shared" si="8"/>
        <v>2052</v>
      </c>
      <c r="J14" s="37">
        <f t="shared" si="8"/>
        <v>2052</v>
      </c>
      <c r="K14" s="37">
        <f t="shared" si="8"/>
        <v>2052</v>
      </c>
      <c r="L14" s="37">
        <f t="shared" si="8"/>
        <v>2052</v>
      </c>
      <c r="M14" s="37">
        <f t="shared" si="8"/>
        <v>2052</v>
      </c>
      <c r="N14" s="37">
        <f t="shared" si="8"/>
        <v>2052</v>
      </c>
      <c r="O14" s="38">
        <f>SUM(C14,D14,E14,F14,G14,H14,I14,J14,K14,L14,M14,N14)</f>
        <v>24624</v>
      </c>
      <c r="P14" s="2"/>
      <c r="Q14" s="37">
        <f>Q6-Q9-Q10</f>
        <v>1982</v>
      </c>
      <c r="R14" s="37">
        <f t="shared" ref="R14:AB14" si="9">R6-R9-R10</f>
        <v>1982</v>
      </c>
      <c r="S14" s="37">
        <f t="shared" si="9"/>
        <v>1982</v>
      </c>
      <c r="T14" s="37">
        <f t="shared" si="9"/>
        <v>1982</v>
      </c>
      <c r="U14" s="37">
        <f t="shared" si="9"/>
        <v>1982</v>
      </c>
      <c r="V14" s="37">
        <f t="shared" si="9"/>
        <v>1982</v>
      </c>
      <c r="W14" s="37">
        <f t="shared" si="9"/>
        <v>1982</v>
      </c>
      <c r="X14" s="37">
        <f t="shared" si="9"/>
        <v>1982</v>
      </c>
      <c r="Y14" s="37">
        <f t="shared" si="9"/>
        <v>1982</v>
      </c>
      <c r="Z14" s="37">
        <f t="shared" si="9"/>
        <v>1982</v>
      </c>
      <c r="AA14" s="37">
        <f t="shared" si="9"/>
        <v>1982</v>
      </c>
      <c r="AB14" s="37">
        <f t="shared" si="9"/>
        <v>1982</v>
      </c>
      <c r="AC14" s="38">
        <f>SUM(Q14,R14,S14,T14,U14,V14,W14,X14,Y14,Z14,AA14,AB14)</f>
        <v>23784</v>
      </c>
      <c r="AD14" s="2"/>
      <c r="AE14" s="37">
        <f>AE6-AE9-AE10</f>
        <v>1912</v>
      </c>
      <c r="AF14" s="37">
        <f t="shared" ref="AF14:AP14" si="10">AF6-AF9-AF10</f>
        <v>1912</v>
      </c>
      <c r="AG14" s="37">
        <f t="shared" si="10"/>
        <v>1912</v>
      </c>
      <c r="AH14" s="37">
        <f t="shared" si="10"/>
        <v>1912</v>
      </c>
      <c r="AI14" s="37">
        <f t="shared" si="10"/>
        <v>1912</v>
      </c>
      <c r="AJ14" s="37">
        <f t="shared" si="10"/>
        <v>1912</v>
      </c>
      <c r="AK14" s="37">
        <f t="shared" si="10"/>
        <v>1912</v>
      </c>
      <c r="AL14" s="37">
        <f t="shared" si="10"/>
        <v>1912</v>
      </c>
      <c r="AM14" s="37">
        <f t="shared" si="10"/>
        <v>1912</v>
      </c>
      <c r="AN14" s="37">
        <f t="shared" si="10"/>
        <v>1912</v>
      </c>
      <c r="AO14" s="37">
        <f t="shared" si="10"/>
        <v>1912</v>
      </c>
      <c r="AP14" s="37">
        <f t="shared" si="10"/>
        <v>1912</v>
      </c>
      <c r="AQ14" s="38">
        <f>SUM(AE14,AF14,AG14,AH14,AI14,AJ14,AK14,AL14,AM14,AN14,AO14,AP14)</f>
        <v>22944</v>
      </c>
      <c r="AR14" s="2"/>
      <c r="AS14" s="2"/>
    </row>
    <row r="15" spans="1:45" ht="19.5" customHeight="1" x14ac:dyDescent="0.2">
      <c r="A15" s="24" t="s">
        <v>119</v>
      </c>
      <c r="B15" s="2"/>
      <c r="C15" s="25">
        <f t="shared" ref="C15:N15" si="11">C7-C12</f>
        <v>-23781</v>
      </c>
      <c r="D15" s="25">
        <f t="shared" si="11"/>
        <v>-23781</v>
      </c>
      <c r="E15" s="25">
        <f t="shared" si="11"/>
        <v>-23781</v>
      </c>
      <c r="F15" s="25">
        <f t="shared" si="11"/>
        <v>-23781</v>
      </c>
      <c r="G15" s="25">
        <f t="shared" si="11"/>
        <v>-23781</v>
      </c>
      <c r="H15" s="25">
        <f t="shared" si="11"/>
        <v>-23781</v>
      </c>
      <c r="I15" s="25">
        <f t="shared" si="11"/>
        <v>-23781</v>
      </c>
      <c r="J15" s="25">
        <f t="shared" si="11"/>
        <v>-23781</v>
      </c>
      <c r="K15" s="25">
        <f t="shared" si="11"/>
        <v>-23781</v>
      </c>
      <c r="L15" s="25">
        <f t="shared" si="11"/>
        <v>-23781</v>
      </c>
      <c r="M15" s="25">
        <f t="shared" si="11"/>
        <v>-23781</v>
      </c>
      <c r="N15" s="25">
        <f t="shared" si="11"/>
        <v>-23781</v>
      </c>
      <c r="O15" s="26">
        <f>SUM(C15,D15,E15,F15,G15,H15,I15,J15,K15,L15,M15,N15)</f>
        <v>-285372</v>
      </c>
      <c r="P15" s="2"/>
      <c r="Q15" s="25">
        <f t="shared" ref="Q15:AB15" si="12">Q7-Q12</f>
        <v>-23851</v>
      </c>
      <c r="R15" s="25">
        <f t="shared" si="12"/>
        <v>-23851</v>
      </c>
      <c r="S15" s="25">
        <f t="shared" si="12"/>
        <v>-23851</v>
      </c>
      <c r="T15" s="25">
        <f t="shared" si="12"/>
        <v>-23851</v>
      </c>
      <c r="U15" s="25">
        <f t="shared" si="12"/>
        <v>-23851</v>
      </c>
      <c r="V15" s="25">
        <f t="shared" si="12"/>
        <v>-23851</v>
      </c>
      <c r="W15" s="25">
        <f t="shared" si="12"/>
        <v>-23851</v>
      </c>
      <c r="X15" s="25">
        <f t="shared" si="12"/>
        <v>-23851</v>
      </c>
      <c r="Y15" s="25">
        <f t="shared" si="12"/>
        <v>-23851</v>
      </c>
      <c r="Z15" s="25">
        <f t="shared" si="12"/>
        <v>-23851</v>
      </c>
      <c r="AA15" s="25">
        <f t="shared" si="12"/>
        <v>-23851</v>
      </c>
      <c r="AB15" s="25">
        <f t="shared" si="12"/>
        <v>-23851</v>
      </c>
      <c r="AC15" s="26">
        <f>SUM(Q15,R15,S15,T15,U15,V15,W15,X15,Y15,Z15,AA15,AB15)</f>
        <v>-286212</v>
      </c>
      <c r="AD15" s="2"/>
      <c r="AE15" s="25">
        <f t="shared" ref="AE15:AP15" si="13">AE7-AE12</f>
        <v>-23921</v>
      </c>
      <c r="AF15" s="25">
        <f t="shared" si="13"/>
        <v>-23921</v>
      </c>
      <c r="AG15" s="25">
        <f t="shared" si="13"/>
        <v>-23921</v>
      </c>
      <c r="AH15" s="25">
        <f t="shared" si="13"/>
        <v>-23921</v>
      </c>
      <c r="AI15" s="25">
        <f t="shared" si="13"/>
        <v>-23921</v>
      </c>
      <c r="AJ15" s="25">
        <f t="shared" si="13"/>
        <v>-23921</v>
      </c>
      <c r="AK15" s="25">
        <f t="shared" si="13"/>
        <v>-23921</v>
      </c>
      <c r="AL15" s="25">
        <f t="shared" si="13"/>
        <v>-23921</v>
      </c>
      <c r="AM15" s="25">
        <f t="shared" si="13"/>
        <v>-23921</v>
      </c>
      <c r="AN15" s="25">
        <f t="shared" si="13"/>
        <v>-23921</v>
      </c>
      <c r="AO15" s="25">
        <f t="shared" si="13"/>
        <v>-23921</v>
      </c>
      <c r="AP15" s="25">
        <f t="shared" si="13"/>
        <v>-23921</v>
      </c>
      <c r="AQ15" s="26">
        <f>SUM(AE15,AF15,AG15,AH15,AI15,AJ15,AK15,AL15,AM15,AN15,AO15,AP15)</f>
        <v>-287052</v>
      </c>
      <c r="AR15" s="2"/>
      <c r="AS15" s="2"/>
    </row>
    <row r="16" spans="1:4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ht="1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</sheetData>
  <mergeCells count="8">
    <mergeCell ref="A5:AQ5"/>
    <mergeCell ref="A8:AQ8"/>
    <mergeCell ref="A13:AQ13"/>
    <mergeCell ref="A1:AQ1"/>
    <mergeCell ref="A2:AQ2"/>
    <mergeCell ref="C3:O3"/>
    <mergeCell ref="Q3:AC3"/>
    <mergeCell ref="AE3:AQ3"/>
  </mergeCells>
  <pageMargins left="1" right="1" top="1" bottom="1" header="0.5" footer="0.5"/>
  <pageSetup paperSize="9" scale="25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72"/>
  </sheetPr>
  <dimension ref="A1:AU89"/>
  <sheetViews>
    <sheetView zoomScaleNormal="100" workbookViewId="0">
      <selection activeCell="AQ41" sqref="AQ41"/>
    </sheetView>
  </sheetViews>
  <sheetFormatPr baseColWidth="10" defaultColWidth="8.6640625" defaultRowHeight="15" x14ac:dyDescent="0.2"/>
  <cols>
    <col min="1" max="1" width="38.1640625" style="1" customWidth="1"/>
    <col min="2" max="2" width="5.1640625" style="1" customWidth="1"/>
    <col min="3" max="15" width="9.5" style="1" customWidth="1"/>
    <col min="16" max="16" width="6.83203125" style="1" customWidth="1"/>
    <col min="17" max="29" width="9.5" style="1" customWidth="1"/>
    <col min="30" max="30" width="6" style="1" customWidth="1"/>
    <col min="31" max="43" width="9.5" style="1" customWidth="1"/>
    <col min="44" max="45" width="9.5" style="73" customWidth="1"/>
    <col min="46" max="47" width="9.5" style="1" customWidth="1"/>
  </cols>
  <sheetData>
    <row r="1" spans="1:44" ht="25.5" customHeight="1" x14ac:dyDescent="0.2">
      <c r="A1" s="95" t="s">
        <v>232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</row>
    <row r="2" spans="1:44" ht="19.5" customHeight="1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</row>
    <row r="3" spans="1:44" ht="21.75" customHeight="1" x14ac:dyDescent="0.2">
      <c r="A3" s="2"/>
      <c r="B3" s="2"/>
      <c r="C3" s="99" t="s">
        <v>214</v>
      </c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2"/>
      <c r="Q3" s="100" t="s">
        <v>215</v>
      </c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2"/>
      <c r="AE3" s="101" t="s">
        <v>221</v>
      </c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</row>
    <row r="4" spans="1:44" ht="18" customHeight="1" x14ac:dyDescent="0.2">
      <c r="A4" s="20" t="s">
        <v>102</v>
      </c>
      <c r="B4" s="2"/>
      <c r="C4" s="21" t="s">
        <v>103</v>
      </c>
      <c r="D4" s="21" t="s">
        <v>104</v>
      </c>
      <c r="E4" s="21" t="s">
        <v>105</v>
      </c>
      <c r="F4" s="21" t="s">
        <v>106</v>
      </c>
      <c r="G4" s="21" t="s">
        <v>50</v>
      </c>
      <c r="H4" s="21" t="s">
        <v>51</v>
      </c>
      <c r="I4" s="21" t="s">
        <v>107</v>
      </c>
      <c r="J4" s="21" t="s">
        <v>53</v>
      </c>
      <c r="K4" s="21" t="s">
        <v>108</v>
      </c>
      <c r="L4" s="21" t="s">
        <v>109</v>
      </c>
      <c r="M4" s="21" t="s">
        <v>110</v>
      </c>
      <c r="N4" s="21" t="s">
        <v>111</v>
      </c>
      <c r="O4" s="21" t="s">
        <v>112</v>
      </c>
      <c r="P4" s="2"/>
      <c r="Q4" s="22" t="s">
        <v>103</v>
      </c>
      <c r="R4" s="22" t="s">
        <v>104</v>
      </c>
      <c r="S4" s="22" t="s">
        <v>105</v>
      </c>
      <c r="T4" s="22" t="s">
        <v>106</v>
      </c>
      <c r="U4" s="22" t="s">
        <v>50</v>
      </c>
      <c r="V4" s="22" t="s">
        <v>51</v>
      </c>
      <c r="W4" s="22" t="s">
        <v>107</v>
      </c>
      <c r="X4" s="22" t="s">
        <v>53</v>
      </c>
      <c r="Y4" s="22" t="s">
        <v>108</v>
      </c>
      <c r="Z4" s="22" t="s">
        <v>109</v>
      </c>
      <c r="AA4" s="22" t="s">
        <v>110</v>
      </c>
      <c r="AB4" s="22" t="s">
        <v>111</v>
      </c>
      <c r="AC4" s="22" t="s">
        <v>112</v>
      </c>
      <c r="AD4" s="2"/>
      <c r="AE4" s="23" t="s">
        <v>103</v>
      </c>
      <c r="AF4" s="23" t="s">
        <v>104</v>
      </c>
      <c r="AG4" s="23" t="s">
        <v>105</v>
      </c>
      <c r="AH4" s="23" t="s">
        <v>106</v>
      </c>
      <c r="AI4" s="23" t="s">
        <v>50</v>
      </c>
      <c r="AJ4" s="23" t="s">
        <v>51</v>
      </c>
      <c r="AK4" s="23" t="s">
        <v>107</v>
      </c>
      <c r="AL4" s="23" t="s">
        <v>53</v>
      </c>
      <c r="AM4" s="23" t="s">
        <v>108</v>
      </c>
      <c r="AN4" s="23" t="s">
        <v>109</v>
      </c>
      <c r="AO4" s="23" t="s">
        <v>110</v>
      </c>
      <c r="AP4" s="23" t="s">
        <v>111</v>
      </c>
      <c r="AQ4" s="23" t="s">
        <v>112</v>
      </c>
    </row>
    <row r="5" spans="1:44" ht="18" customHeight="1" x14ac:dyDescent="0.2">
      <c r="A5" s="102" t="s">
        <v>222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</row>
    <row r="6" spans="1:44" ht="15.75" customHeight="1" x14ac:dyDescent="0.2">
      <c r="A6" s="30" t="s">
        <v>120</v>
      </c>
      <c r="B6" s="2"/>
      <c r="C6" s="31">
        <f>ROUND('① Hypothèses'!B29*IF('① Hypothèses'!B36&gt;=0.8,'① Hypothèses'!B30,IF('① Hypothèses'!B36&gt;=0.51,'① Hypothèses'!B31,'① Hypothèses'!B32))*'① Hypothèses'!B36*31,0)</f>
        <v>111600</v>
      </c>
      <c r="D6" s="31">
        <f>ROUND('① Hypothèses'!B29*IF('① Hypothèses'!B37&gt;=0.8,'① Hypothèses'!B30,IF('① Hypothèses'!B37&gt;=0.51,'① Hypothèses'!B31,'① Hypothèses'!B32))*'① Hypothèses'!B37*28,0)</f>
        <v>100800</v>
      </c>
      <c r="E6" s="31">
        <f>ROUND('① Hypothèses'!B29*IF('① Hypothèses'!B38&gt;=0.8,'① Hypothèses'!B30,IF('① Hypothèses'!B38&gt;=0.51,'① Hypothèses'!B31,'① Hypothèses'!B32))*'① Hypothèses'!B38*31,0)</f>
        <v>163680</v>
      </c>
      <c r="F6" s="31">
        <f>ROUND('① Hypothèses'!B29*IF('① Hypothèses'!B39&gt;=0.8,'① Hypothèses'!B30,IF('① Hypothèses'!B39&gt;=0.51,'① Hypothèses'!B31,'① Hypothèses'!B32))*'① Hypothèses'!B39*30,0)</f>
        <v>187200</v>
      </c>
      <c r="G6" s="31">
        <f>ROUND('① Hypothèses'!B29*IF('① Hypothèses'!B40&gt;=0.8,'① Hypothèses'!B30,IF('① Hypothèses'!B40&gt;=0.51,'① Hypothèses'!B31,'① Hypothèses'!B32))*'① Hypothèses'!B40*31,0)</f>
        <v>208320</v>
      </c>
      <c r="H6" s="31">
        <f>ROUND('① Hypothèses'!B29*IF('① Hypothèses'!B41&gt;=0.8,'① Hypothèses'!B30,IF('① Hypothèses'!B41&gt;=0.51,'① Hypothèses'!B31,'① Hypothèses'!B32))*'① Hypothèses'!B41*30,0)</f>
        <v>306000</v>
      </c>
      <c r="I6" s="31">
        <f>ROUND('① Hypothèses'!B29*IF('① Hypothèses'!B42&gt;=0.8,'① Hypothèses'!B30,IF('① Hypothèses'!B42&gt;=0.51,'① Hypothèses'!B31,'① Hypothèses'!B32))*'① Hypothèses'!B42*31,0)</f>
        <v>372000</v>
      </c>
      <c r="J6" s="31">
        <f>ROUND('① Hypothèses'!B29*IF('① Hypothèses'!B43&gt;=0.8,'① Hypothèses'!B30,IF('① Hypothèses'!B43&gt;=0.51,'① Hypothèses'!B31,'① Hypothèses'!B32))*'① Hypothèses'!B43*31,0)</f>
        <v>372000</v>
      </c>
      <c r="K6" s="31">
        <f>ROUND('① Hypothèses'!B29*IF('① Hypothèses'!B44&gt;=0.8,'① Hypothèses'!B30,IF('① Hypothèses'!B44&gt;=0.51,'① Hypothèses'!B31,'① Hypothèses'!B32))*'① Hypothèses'!B44*30,0)</f>
        <v>360000</v>
      </c>
      <c r="L6" s="31">
        <f>ROUND('① Hypothèses'!B29*IF('① Hypothèses'!B45&gt;=0.8,'① Hypothèses'!B30,IF('① Hypothèses'!B45&gt;=0.51,'① Hypothèses'!B31,'① Hypothèses'!B32))*'① Hypothèses'!B45*31,0)</f>
        <v>297600</v>
      </c>
      <c r="M6" s="31">
        <f>ROUND('① Hypothèses'!B29*IF('① Hypothèses'!B46&gt;=0.8,'① Hypothèses'!B30,IF('① Hypothèses'!B46&gt;=0.51,'① Hypothèses'!B31,'① Hypothèses'!B32))*'① Hypothèses'!B46*30,0)</f>
        <v>172800</v>
      </c>
      <c r="N6" s="31">
        <f>ROUND('① Hypothèses'!B29*IF('① Hypothèses'!B47&gt;=0.8,'① Hypothèses'!B30,IF('① Hypothèses'!B47&gt;=0.51,'① Hypothèses'!B31,'① Hypothèses'!B32))*'① Hypothèses'!B47*31,0)</f>
        <v>193440</v>
      </c>
      <c r="O6" s="32">
        <f>SUM(C6,D6,E6,F6,G6,H6,I6,J6,K6,L6,M6,N6)</f>
        <v>2845440</v>
      </c>
      <c r="P6" s="2"/>
      <c r="Q6" s="31">
        <f>ROUND('① Hypothèses'!B29*IF(MIN(1,'① Hypothèses'!B36+'① Hypothèses'!B51)&gt;=0.8,'① Hypothèses'!B30*(1+'① Hypothèses'!B53),IF(MIN(1,'① Hypothèses'!B36+'① Hypothèses'!B51)&gt;=0.51,'① Hypothèses'!B31*(1+'① Hypothèses'!B53),'① Hypothèses'!B32*(1+'① Hypothèses'!B53)))*MIN(1,'① Hypothèses'!B36+'① Hypothèses'!B51)*31,0)</f>
        <v>153294</v>
      </c>
      <c r="R6" s="31">
        <f>ROUND('① Hypothèses'!B29*IF(MIN(1,'① Hypothèses'!B37+'① Hypothèses'!B51)&gt;=0.8,'① Hypothèses'!B30*(1+'① Hypothèses'!B53),IF(MIN(1,'① Hypothèses'!B37+'① Hypothèses'!B51)&gt;=0.51,'① Hypothèses'!B31*(1+'① Hypothèses'!B53),'① Hypothèses'!B32*(1+'① Hypothèses'!B53)))*MIN(1,'① Hypothèses'!B37+'① Hypothèses'!B51)*28,0)</f>
        <v>138459</v>
      </c>
      <c r="S6" s="31">
        <f>ROUND('① Hypothèses'!B29*IF(MIN(1,'① Hypothèses'!B38+'① Hypothèses'!B51)&gt;=0.8,'① Hypothèses'!B30*(1+'① Hypothèses'!B53),IF(MIN(1,'① Hypothèses'!B38+'① Hypothèses'!B51)&gt;=0.51,'① Hypothèses'!B31*(1+'① Hypothèses'!B53),'① Hypothèses'!B32*(1+'① Hypothèses'!B53)))*MIN(1,'① Hypothèses'!B38+'① Hypothèses'!B51)*31,0)</f>
        <v>168323</v>
      </c>
      <c r="T6" s="31">
        <f>ROUND('① Hypothèses'!B29*IF(MIN(1,'① Hypothèses'!B39+'① Hypothèses'!B51)&gt;=0.8,'① Hypothèses'!B30*(1+'① Hypothèses'!B53),IF(MIN(1,'① Hypothèses'!B39+'① Hypothèses'!B51)&gt;=0.51,'① Hypothèses'!B31*(1+'① Hypothèses'!B53),'① Hypothèses'!B32*(1+'① Hypothèses'!B53)))*MIN(1,'① Hypothèses'!B39+'① Hypothèses'!B51)*30,0)</f>
        <v>191981</v>
      </c>
      <c r="U6" s="31">
        <f>ROUND('① Hypothèses'!B29*IF(MIN(1,'① Hypothèses'!B40+'① Hypothèses'!B51)&gt;=0.8,'① Hypothèses'!B30*(1+'① Hypothèses'!B53),IF(MIN(1,'① Hypothèses'!B40+'① Hypothèses'!B51)&gt;=0.51,'① Hypothèses'!B31*(1+'① Hypothèses'!B53),'① Hypothèses'!B32*(1+'① Hypothèses'!B53)))*MIN(1,'① Hypothèses'!B40+'① Hypothèses'!B51)*31,0)</f>
        <v>213409</v>
      </c>
      <c r="V6" s="31">
        <f>ROUND('① Hypothèses'!B29*IF(MIN(1,'① Hypothèses'!B41+'① Hypothèses'!B51)&gt;=0.8,'① Hypothèses'!B30*(1+'① Hypothèses'!B53),IF(MIN(1,'① Hypothèses'!B41+'① Hypothèses'!B51)&gt;=0.51,'① Hypothèses'!B31*(1+'① Hypothèses'!B53),'① Hypothèses'!B32*(1+'① Hypothèses'!B53)))*MIN(1,'① Hypothèses'!B41+'① Hypothèses'!B51)*30,0)</f>
        <v>312696</v>
      </c>
      <c r="W6" s="31">
        <f>ROUND('① Hypothèses'!B29*IF(MIN(1,'① Hypothèses'!B42+'① Hypothèses'!B51)&gt;=0.8,'① Hypothèses'!B30*(1+'① Hypothèses'!B53),IF(MIN(1,'① Hypothèses'!B42+'① Hypothèses'!B51)&gt;=0.51,'① Hypothèses'!B31*(1+'① Hypothèses'!B53),'① Hypothèses'!B32*(1+'① Hypothèses'!B53)))*MIN(1,'① Hypothèses'!B42+'① Hypothèses'!B51)*31,0)</f>
        <v>375720</v>
      </c>
      <c r="X6" s="31">
        <f>ROUND('① Hypothèses'!B29*IF(MIN(1,'① Hypothèses'!B43+'① Hypothèses'!B51)&gt;=0.8,'① Hypothèses'!B30*(1+'① Hypothèses'!B53),IF(MIN(1,'① Hypothèses'!B43+'① Hypothèses'!B51)&gt;=0.51,'① Hypothèses'!B31*(1+'① Hypothèses'!B53),'① Hypothèses'!B32*(1+'① Hypothèses'!B53)))*MIN(1,'① Hypothèses'!B43+'① Hypothèses'!B51)*31,0)</f>
        <v>375720</v>
      </c>
      <c r="Y6" s="31">
        <f>ROUND('① Hypothèses'!B29*IF(MIN(1,'① Hypothèses'!B44+'① Hypothèses'!B51)&gt;=0.8,'① Hypothèses'!B30*(1+'① Hypothèses'!B53),IF(MIN(1,'① Hypothèses'!B44+'① Hypothèses'!B51)&gt;=0.51,'① Hypothèses'!B31*(1+'① Hypothèses'!B53),'① Hypothèses'!B32*(1+'① Hypothèses'!B53)))*MIN(1,'① Hypothèses'!B44+'① Hypothèses'!B51)*30,0)</f>
        <v>363600</v>
      </c>
      <c r="Z6" s="31">
        <f>ROUND('① Hypothèses'!B29*IF(MIN(1,'① Hypothèses'!B45+'① Hypothèses'!B51)&gt;=0.8,'① Hypothèses'!B30*(1+'① Hypothèses'!B53),IF(MIN(1,'① Hypothèses'!B45+'① Hypothèses'!B51)&gt;=0.51,'① Hypothèses'!B31*(1+'① Hypothèses'!B53),'① Hypothèses'!B32*(1+'① Hypothèses'!B53)))*MIN(1,'① Hypothèses'!B45+'① Hypothèses'!B51)*31,0)</f>
        <v>304333</v>
      </c>
      <c r="AA6" s="31">
        <f>ROUND('① Hypothèses'!B29*IF(MIN(1,'① Hypothèses'!B46+'① Hypothèses'!B51)&gt;=0.8,'① Hypothèses'!B30*(1+'① Hypothèses'!B53),IF(MIN(1,'① Hypothèses'!B46+'① Hypothèses'!B51)&gt;=0.51,'① Hypothèses'!B31*(1+'① Hypothèses'!B53),'① Hypothèses'!B32*(1+'① Hypothèses'!B53)))*MIN(1,'① Hypothèses'!B46+'① Hypothèses'!B51)*30,0)</f>
        <v>177437</v>
      </c>
      <c r="AB6" s="31">
        <f>ROUND('① Hypothèses'!B29*IF(MIN(1,'① Hypothèses'!B47+'① Hypothèses'!B51)&gt;=0.8,'① Hypothèses'!B30*(1+'① Hypothèses'!B53),IF(MIN(1,'① Hypothèses'!B47+'① Hypothèses'!B51)&gt;=0.51,'① Hypothèses'!B31*(1+'① Hypothèses'!B53),'① Hypothèses'!B32*(1+'① Hypothèses'!B53)))*MIN(1,'① Hypothèses'!B47+'① Hypothèses'!B51)*31,0)</f>
        <v>198380</v>
      </c>
      <c r="AC6" s="32">
        <f>SUM(Q6,R6,S6,T6,U6,V6,W6,X6,Y6,Z6,AA6,AB6)</f>
        <v>2973352</v>
      </c>
      <c r="AD6" s="2"/>
      <c r="AE6" s="31">
        <f>ROUND('① Hypothèses'!B29*IF(MIN(1,'① Hypothèses'!B36+'① Hypothèses'!B52)&gt;=0.8,'① Hypothèses'!B30*(1+'① Hypothèses'!B53)*(1+'① Hypothèses'!B54),IF(MIN(1,'① Hypothèses'!B36+'① Hypothèses'!B52)&gt;=0.51,'① Hypothèses'!B31*(1+'① Hypothèses'!B53)*(1+'① Hypothèses'!B54),'① Hypothèses'!B32*(1+'① Hypothèses'!B53)*(1+'① Hypothèses'!B54)))*MIN(1,'① Hypothèses'!B36+'① Hypothèses'!B52)*31,0)</f>
        <v>159426</v>
      </c>
      <c r="AF6" s="31">
        <f>ROUND('① Hypothèses'!B29*IF(MIN(1,'① Hypothèses'!B37+'① Hypothèses'!B52)&gt;=0.8,'① Hypothèses'!B30*(1+'① Hypothèses'!B53)*(1+'① Hypothèses'!B54),IF(MIN(1,'① Hypothèses'!B37+'① Hypothèses'!B52)&gt;=0.51,'① Hypothèses'!B31*(1+'① Hypothèses'!B53)*(1+'① Hypothèses'!B54),'① Hypothèses'!B32*(1+'① Hypothèses'!B53)*(1+'① Hypothèses'!B54)))*MIN(1,'① Hypothèses'!B37+'① Hypothèses'!B52)*28,0)</f>
        <v>143997</v>
      </c>
      <c r="AG6" s="31">
        <f>ROUND('① Hypothèses'!B29*IF(MIN(1,'① Hypothèses'!B38+'① Hypothèses'!B52)&gt;=0.8,'① Hypothèses'!B30*(1+'① Hypothèses'!B53)*(1+'① Hypothèses'!B54),IF(MIN(1,'① Hypothèses'!B38+'① Hypothèses'!B52)&gt;=0.51,'① Hypothèses'!B31*(1+'① Hypothèses'!B53)*(1+'① Hypothèses'!B54),'① Hypothèses'!B32*(1+'① Hypothèses'!B53)*(1+'① Hypothèses'!B54)))*MIN(1,'① Hypothèses'!B38+'① Hypothèses'!B52)*31,0)</f>
        <v>174755</v>
      </c>
      <c r="AH6" s="31">
        <f>ROUND('① Hypothèses'!B29*IF(MIN(1,'① Hypothèses'!B39+'① Hypothèses'!B52)&gt;=0.8,'① Hypothèses'!B30*(1+'① Hypothèses'!B53)*(1+'① Hypothèses'!B54),IF(MIN(1,'① Hypothèses'!B39+'① Hypothèses'!B52)&gt;=0.51,'① Hypothèses'!B31*(1+'① Hypothèses'!B53)*(1+'① Hypothèses'!B54),'① Hypothèses'!B32*(1+'① Hypothèses'!B53)*(1+'① Hypothèses'!B54)))*MIN(1,'① Hypothèses'!B39+'① Hypothèses'!B52)*30,0)</f>
        <v>198787</v>
      </c>
      <c r="AI6" s="31">
        <f>ROUND('① Hypothèses'!B29*IF(MIN(1,'① Hypothèses'!B40+'① Hypothèses'!B52)&gt;=0.8,'① Hypothèses'!B30*(1+'① Hypothèses'!B53)*(1+'① Hypothèses'!B54),IF(MIN(1,'① Hypothèses'!B40+'① Hypothèses'!B52)&gt;=0.51,'① Hypothèses'!B31*(1+'① Hypothèses'!B53)*(1+'① Hypothèses'!B54),'① Hypothèses'!B32*(1+'① Hypothèses'!B53)*(1+'① Hypothèses'!B54)))*MIN(1,'① Hypothèses'!B40+'① Hypothèses'!B52)*31,0)</f>
        <v>220743</v>
      </c>
      <c r="AJ6" s="31">
        <f>ROUND('① Hypothèses'!B29*IF(MIN(1,'① Hypothèses'!B41+'① Hypothèses'!B52)&gt;=0.8,'① Hypothèses'!B30*(1+'① Hypothèses'!B53)*(1+'① Hypothèses'!B54),IF(MIN(1,'① Hypothèses'!B41+'① Hypothèses'!B52)&gt;=0.51,'① Hypothèses'!B31*(1+'① Hypothèses'!B53)*(1+'① Hypothèses'!B54),'① Hypothèses'!B32*(1+'① Hypothèses'!B53)*(1+'① Hypothèses'!B54)))*MIN(1,'① Hypothèses'!B41+'① Hypothèses'!B52)*30,0)</f>
        <v>322659</v>
      </c>
      <c r="AK6" s="31">
        <f>ROUND('① Hypothèses'!B29*IF(MIN(1,'① Hypothèses'!B42+'① Hypothèses'!B52)&gt;=0.8,'① Hypothèses'!B30*(1+'① Hypothèses'!B53)*(1+'① Hypothèses'!B54),IF(MIN(1,'① Hypothèses'!B42+'① Hypothèses'!B52)&gt;=0.51,'① Hypothèses'!B31*(1+'① Hypothèses'!B53)*(1+'① Hypothèses'!B54),'① Hypothèses'!B32*(1+'① Hypothèses'!B53)*(1+'① Hypothèses'!B54)))*MIN(1,'① Hypothèses'!B42+'① Hypothèses'!B52)*31,0)</f>
        <v>383234</v>
      </c>
      <c r="AL6" s="31">
        <f>ROUND('① Hypothèses'!B29*IF(MIN(1,'① Hypothèses'!B43+'① Hypothèses'!B52)&gt;=0.8,'① Hypothèses'!B30*(1+'① Hypothèses'!B53)*(1+'① Hypothèses'!B54),IF(MIN(1,'① Hypothèses'!B43+'① Hypothèses'!B52)&gt;=0.51,'① Hypothèses'!B31*(1+'① Hypothèses'!B53)*(1+'① Hypothèses'!B54),'① Hypothèses'!B32*(1+'① Hypothèses'!B53)*(1+'① Hypothèses'!B54)))*MIN(1,'① Hypothèses'!B43+'① Hypothèses'!B52)*31,0)</f>
        <v>383234</v>
      </c>
      <c r="AM6" s="31">
        <f>ROUND('① Hypothèses'!B29*IF(MIN(1,'① Hypothèses'!B44+'① Hypothèses'!B52)&gt;=0.8,'① Hypothèses'!B30*(1+'① Hypothèses'!B53)*(1+'① Hypothèses'!B54),IF(MIN(1,'① Hypothèses'!B44+'① Hypothèses'!B52)&gt;=0.51,'① Hypothèses'!B31*(1+'① Hypothèses'!B53)*(1+'① Hypothèses'!B54),'① Hypothèses'!B32*(1+'① Hypothèses'!B53)*(1+'① Hypothèses'!B54)))*MIN(1,'① Hypothèses'!B44+'① Hypothèses'!B52)*30,0)</f>
        <v>370872</v>
      </c>
      <c r="AN6" s="31">
        <f>ROUND('① Hypothèses'!B29*IF(MIN(1,'① Hypothèses'!B45+'① Hypothèses'!B52)&gt;=0.8,'① Hypothèses'!B30*(1+'① Hypothèses'!B53)*(1+'① Hypothèses'!B54),IF(MIN(1,'① Hypothèses'!B45+'① Hypothèses'!B52)&gt;=0.51,'① Hypothèses'!B31*(1+'① Hypothèses'!B53)*(1+'① Hypothèses'!B54),'① Hypothèses'!B32*(1+'① Hypothèses'!B53)*(1+'① Hypothèses'!B54)))*MIN(1,'① Hypothèses'!B45+'① Hypothèses'!B52)*31,0)</f>
        <v>314252</v>
      </c>
      <c r="AO6" s="31">
        <f>ROUND('① Hypothèses'!B29*IF(MIN(1,'① Hypothèses'!B46+'① Hypothèses'!B52)&gt;=0.8,'① Hypothèses'!B30*(1+'① Hypothèses'!B53)*(1+'① Hypothèses'!B54),IF(MIN(1,'① Hypothèses'!B46+'① Hypothèses'!B52)&gt;=0.51,'① Hypothèses'!B31*(1+'① Hypothèses'!B53)*(1+'① Hypothèses'!B54),'① Hypothèses'!B32*(1+'① Hypothèses'!B53)*(1+'① Hypothèses'!B54)))*MIN(1,'① Hypothèses'!B46+'① Hypothèses'!B52)*30,0)</f>
        <v>183953</v>
      </c>
      <c r="AP6" s="31">
        <f>ROUND('① Hypothèses'!B29*IF(MIN(1,'① Hypothèses'!B47+'① Hypothèses'!B52)&gt;=0.8,'① Hypothèses'!B30*(1+'① Hypothèses'!B53)*(1+'① Hypothèses'!B54),IF(MIN(1,'① Hypothèses'!B47+'① Hypothèses'!B52)&gt;=0.51,'① Hypothèses'!B31*(1+'① Hypothèses'!B53)*(1+'① Hypothèses'!B54),'① Hypothèses'!B32*(1+'① Hypothèses'!B53)*(1+'① Hypothèses'!B54)))*MIN(1,'① Hypothèses'!B47+'① Hypothèses'!B52)*31,0)</f>
        <v>205414</v>
      </c>
      <c r="AQ6" s="32">
        <f>SUM(AE6,AF6,AG6,AH6,AI6,AJ6,AK6,AL6,AM6,AN6,AO6,AP6)</f>
        <v>3061326</v>
      </c>
      <c r="AR6" s="82"/>
    </row>
    <row r="7" spans="1:44" ht="15.75" customHeight="1" x14ac:dyDescent="0.2">
      <c r="A7" s="30" t="s">
        <v>121</v>
      </c>
      <c r="B7" s="2"/>
      <c r="C7" s="31">
        <f>ROUND(C6*'① Hypothèses'!B59,0)</f>
        <v>11160</v>
      </c>
      <c r="D7" s="31">
        <f>ROUND(D6*'① Hypothèses'!B59,0)</f>
        <v>10080</v>
      </c>
      <c r="E7" s="31">
        <f>ROUND(E6*'① Hypothèses'!B59,0)</f>
        <v>16368</v>
      </c>
      <c r="F7" s="31">
        <f>ROUND(F6*'① Hypothèses'!B59,0)</f>
        <v>18720</v>
      </c>
      <c r="G7" s="31">
        <f>ROUND(G6*'① Hypothèses'!B59,0)</f>
        <v>20832</v>
      </c>
      <c r="H7" s="31">
        <f>ROUND(H6*'① Hypothèses'!B59,0)</f>
        <v>30600</v>
      </c>
      <c r="I7" s="31">
        <f>ROUND(I6*'① Hypothèses'!B59,0)</f>
        <v>37200</v>
      </c>
      <c r="J7" s="31">
        <f>ROUND(J6*'① Hypothèses'!B59,0)</f>
        <v>37200</v>
      </c>
      <c r="K7" s="31">
        <f>ROUND(K6*'① Hypothèses'!B59,0)</f>
        <v>36000</v>
      </c>
      <c r="L7" s="31">
        <f>ROUND(L6*'① Hypothèses'!B59,0)</f>
        <v>29760</v>
      </c>
      <c r="M7" s="31">
        <f>ROUND(M6*'① Hypothèses'!B59,0)</f>
        <v>17280</v>
      </c>
      <c r="N7" s="31">
        <f>ROUND(N6*'① Hypothèses'!B59,0)</f>
        <v>19344</v>
      </c>
      <c r="O7" s="32">
        <f>SUM(C7,D7,E7,F7,G7,H7,I7,J7,K7,L7,M7,N7)</f>
        <v>284544</v>
      </c>
      <c r="P7" s="2"/>
      <c r="Q7" s="31">
        <f>ROUND(Q6*'① Hypothèses'!B59,0)</f>
        <v>15329</v>
      </c>
      <c r="R7" s="31">
        <f>ROUND(R6*'① Hypothèses'!B59,0)</f>
        <v>13846</v>
      </c>
      <c r="S7" s="31">
        <f>ROUND(S6*'① Hypothèses'!B59,0)</f>
        <v>16832</v>
      </c>
      <c r="T7" s="31">
        <f>ROUND(T6*'① Hypothèses'!B59,0)</f>
        <v>19198</v>
      </c>
      <c r="U7" s="31">
        <f>ROUND(U6*'① Hypothèses'!B59,0)</f>
        <v>21341</v>
      </c>
      <c r="V7" s="31">
        <f>ROUND(V6*'① Hypothèses'!B59,0)</f>
        <v>31270</v>
      </c>
      <c r="W7" s="31">
        <f>ROUND(W6*'① Hypothèses'!B59,0)</f>
        <v>37572</v>
      </c>
      <c r="X7" s="31">
        <f>ROUND(X6*'① Hypothèses'!B59,0)</f>
        <v>37572</v>
      </c>
      <c r="Y7" s="31">
        <f>ROUND(Y6*'① Hypothèses'!B59,0)</f>
        <v>36360</v>
      </c>
      <c r="Z7" s="31">
        <f>ROUND(Z6*'① Hypothèses'!B59,0)</f>
        <v>30433</v>
      </c>
      <c r="AA7" s="31">
        <f>ROUND(AA6*'① Hypothèses'!B59,0)</f>
        <v>17744</v>
      </c>
      <c r="AB7" s="31">
        <f>ROUND(AB6*'① Hypothèses'!B59,0)</f>
        <v>19838</v>
      </c>
      <c r="AC7" s="32">
        <f>SUM(Q7,R7,S7,T7,U7,V7,W7,X7,Y7,Z7,AA7,AB7)</f>
        <v>297335</v>
      </c>
      <c r="AD7" s="2"/>
      <c r="AE7" s="31">
        <f>ROUND(AE6*'① Hypothèses'!B59,0)</f>
        <v>15943</v>
      </c>
      <c r="AF7" s="31">
        <f>ROUND(AF6*'① Hypothèses'!B59,0)</f>
        <v>14400</v>
      </c>
      <c r="AG7" s="31">
        <f>ROUND(AG6*'① Hypothèses'!B59,0)</f>
        <v>17476</v>
      </c>
      <c r="AH7" s="31">
        <f>ROUND(AH6*'① Hypothèses'!B59,0)</f>
        <v>19879</v>
      </c>
      <c r="AI7" s="31">
        <f>ROUND(AI6*'① Hypothèses'!B59,0)</f>
        <v>22074</v>
      </c>
      <c r="AJ7" s="31">
        <f>ROUND(AJ6*'① Hypothèses'!B59,0)</f>
        <v>32266</v>
      </c>
      <c r="AK7" s="31">
        <f>ROUND(AK6*'① Hypothèses'!B59,0)</f>
        <v>38323</v>
      </c>
      <c r="AL7" s="31">
        <f>ROUND(AL6*'① Hypothèses'!B59,0)</f>
        <v>38323</v>
      </c>
      <c r="AM7" s="31">
        <f>ROUND(AM6*'① Hypothèses'!B59,0)</f>
        <v>37087</v>
      </c>
      <c r="AN7" s="31">
        <f>ROUND(AN6*'① Hypothèses'!B59,0)</f>
        <v>31425</v>
      </c>
      <c r="AO7" s="31">
        <f>ROUND(AO6*'① Hypothèses'!B59,0)</f>
        <v>18395</v>
      </c>
      <c r="AP7" s="31">
        <f>ROUND(AP6*'① Hypothèses'!B59,0)</f>
        <v>20541</v>
      </c>
      <c r="AQ7" s="32">
        <f>SUM(AE7,AF7,AG7,AH7,AI7,AJ7,AK7,AL7,AM7,AN7,AO7,AP7)</f>
        <v>306132</v>
      </c>
    </row>
    <row r="8" spans="1:44" ht="15.75" customHeight="1" x14ac:dyDescent="0.2">
      <c r="A8" s="30" t="s">
        <v>122</v>
      </c>
      <c r="B8" s="2"/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2">
        <f>SUM(C8,D8,E8,F8,G8,H8,I8,J8,K8,L8,M8,N8)</f>
        <v>0</v>
      </c>
      <c r="P8" s="2"/>
      <c r="Q8" s="31">
        <f>ROUND(Q6*'① Hypothèses'!B60,0)</f>
        <v>15329</v>
      </c>
      <c r="R8" s="31">
        <f>ROUND(R6*'① Hypothèses'!B60,0)</f>
        <v>13846</v>
      </c>
      <c r="S8" s="31">
        <f>ROUND(S6*'① Hypothèses'!B60,0)</f>
        <v>16832</v>
      </c>
      <c r="T8" s="31">
        <f>ROUND(T6*'① Hypothèses'!B60,0)</f>
        <v>19198</v>
      </c>
      <c r="U8" s="31">
        <f>ROUND(U6*'① Hypothèses'!B60,0)</f>
        <v>21341</v>
      </c>
      <c r="V8" s="31">
        <f>ROUND(V6*'① Hypothèses'!B60,0)</f>
        <v>31270</v>
      </c>
      <c r="W8" s="31">
        <f>ROUND(W6*'① Hypothèses'!B60,0)</f>
        <v>37572</v>
      </c>
      <c r="X8" s="31">
        <f>ROUND(X6*'① Hypothèses'!B60,0)</f>
        <v>37572</v>
      </c>
      <c r="Y8" s="31">
        <f>ROUND(Y6*'① Hypothèses'!B60,0)</f>
        <v>36360</v>
      </c>
      <c r="Z8" s="31">
        <f>ROUND(Z6*'① Hypothèses'!B60,0)</f>
        <v>30433</v>
      </c>
      <c r="AA8" s="31">
        <f>ROUND(AA6*'① Hypothèses'!B60,0)</f>
        <v>17744</v>
      </c>
      <c r="AB8" s="31">
        <f>ROUND(AB6*'① Hypothèses'!B60,0)</f>
        <v>19838</v>
      </c>
      <c r="AC8" s="32">
        <f>SUM(Q8,R8,S8,T8,U8,V8,W8,X8,Y8,Z8,AA8,AB8)</f>
        <v>297335</v>
      </c>
      <c r="AD8" s="2"/>
      <c r="AE8" s="31">
        <f>ROUND(AE6*'① Hypothèses'!B60,0)</f>
        <v>15943</v>
      </c>
      <c r="AF8" s="31">
        <f>ROUND(AF6*'① Hypothèses'!B60,0)</f>
        <v>14400</v>
      </c>
      <c r="AG8" s="31">
        <f>ROUND(AG6*'① Hypothèses'!B60,0)</f>
        <v>17476</v>
      </c>
      <c r="AH8" s="31">
        <f>ROUND(AH6*'① Hypothèses'!B60,0)</f>
        <v>19879</v>
      </c>
      <c r="AI8" s="31">
        <f>ROUND(AI6*'① Hypothèses'!B60,0)</f>
        <v>22074</v>
      </c>
      <c r="AJ8" s="31">
        <f>ROUND(AJ6*'① Hypothèses'!B60,0)</f>
        <v>32266</v>
      </c>
      <c r="AK8" s="31">
        <f>ROUND(AK6*'① Hypothèses'!B60,0)</f>
        <v>38323</v>
      </c>
      <c r="AL8" s="31">
        <f>ROUND(AL6*'① Hypothèses'!B60,0)</f>
        <v>38323</v>
      </c>
      <c r="AM8" s="31">
        <f>ROUND(AM6*'① Hypothèses'!B60,0)</f>
        <v>37087</v>
      </c>
      <c r="AN8" s="31">
        <f>ROUND(AN6*'① Hypothèses'!B60,0)</f>
        <v>31425</v>
      </c>
      <c r="AO8" s="31">
        <f>ROUND(AO6*'① Hypothèses'!B60,0)</f>
        <v>18395</v>
      </c>
      <c r="AP8" s="31">
        <f>ROUND(AP6*'① Hypothèses'!B60,0)</f>
        <v>20541</v>
      </c>
      <c r="AQ8" s="32">
        <f>SUM(AE8,AF8,AG8,AH8,AI8,AJ8,AK8,AL8,AM8,AN8,AO8,AP8)</f>
        <v>306132</v>
      </c>
    </row>
    <row r="9" spans="1:44" ht="15.75" customHeight="1" x14ac:dyDescent="0.2">
      <c r="A9" s="30" t="s">
        <v>123</v>
      </c>
      <c r="B9" s="2"/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/>
      <c r="J9" s="31"/>
      <c r="K9" s="31"/>
      <c r="L9" s="31"/>
      <c r="M9" s="31"/>
      <c r="N9" s="31"/>
      <c r="O9" s="32">
        <f>SUM(C9,D9,E9,F9,G9,H9,I9,J9,K9,L9,M9,N9)</f>
        <v>0</v>
      </c>
      <c r="P9" s="2"/>
      <c r="Q9" s="31">
        <f>ROUND(Q6*'① Hypothèses'!B61,0)</f>
        <v>22994</v>
      </c>
      <c r="R9" s="31">
        <f>ROUND(R6*'① Hypothèses'!B61,0)</f>
        <v>20769</v>
      </c>
      <c r="S9" s="31">
        <f>ROUND(S6*'① Hypothèses'!B61,0)</f>
        <v>25248</v>
      </c>
      <c r="T9" s="31">
        <f>ROUND(T6*'① Hypothèses'!B61,0)</f>
        <v>28797</v>
      </c>
      <c r="U9" s="31">
        <f>ROUND(U6*'① Hypothèses'!B61,0)</f>
        <v>32011</v>
      </c>
      <c r="V9" s="31">
        <f>ROUND(V6*'① Hypothèses'!B61,0)</f>
        <v>46904</v>
      </c>
      <c r="W9" s="31">
        <f>ROUND(W6*'① Hypothèses'!B61,0)</f>
        <v>56358</v>
      </c>
      <c r="X9" s="31">
        <f>ROUND(X6*'① Hypothèses'!B61,0)</f>
        <v>56358</v>
      </c>
      <c r="Y9" s="31">
        <f>ROUND(Y6*'① Hypothèses'!B61,0)</f>
        <v>54540</v>
      </c>
      <c r="Z9" s="31">
        <f>ROUND(Z6*'① Hypothèses'!B61,0)</f>
        <v>45650</v>
      </c>
      <c r="AA9" s="31">
        <f>ROUND(AA6*'① Hypothèses'!B61,0)</f>
        <v>26616</v>
      </c>
      <c r="AB9" s="31">
        <f>ROUND(AB6*'① Hypothèses'!B61,0)</f>
        <v>29757</v>
      </c>
      <c r="AC9" s="32">
        <f>SUM(Q9,R9,S9,T9,U9,V9,W9,X9,Y9,Z9,AA9,AB9)</f>
        <v>446002</v>
      </c>
      <c r="AD9" s="2"/>
      <c r="AE9" s="31">
        <f>ROUND(AE6*'① Hypothèses'!B61,0)</f>
        <v>23914</v>
      </c>
      <c r="AF9" s="31">
        <f>ROUND(AF6*'① Hypothèses'!B61,0)</f>
        <v>21600</v>
      </c>
      <c r="AG9" s="31">
        <f>ROUND(AG6*'① Hypothèses'!B61,0)</f>
        <v>26213</v>
      </c>
      <c r="AH9" s="31">
        <f>ROUND(AH6*'① Hypothèses'!B61,0)</f>
        <v>29818</v>
      </c>
      <c r="AI9" s="31">
        <f>ROUND(AI6*'① Hypothèses'!B61,0)</f>
        <v>33111</v>
      </c>
      <c r="AJ9" s="31">
        <f>ROUND(AJ6*'① Hypothèses'!B61,0)</f>
        <v>48399</v>
      </c>
      <c r="AK9" s="31">
        <f>ROUND(AK6*'① Hypothèses'!B61,0)</f>
        <v>57485</v>
      </c>
      <c r="AL9" s="31">
        <f>ROUND(AL6*'① Hypothèses'!B61,0)</f>
        <v>57485</v>
      </c>
      <c r="AM9" s="31">
        <f>ROUND(AM6*'① Hypothèses'!B61,0)</f>
        <v>55631</v>
      </c>
      <c r="AN9" s="31">
        <f>ROUND(AN6*'① Hypothèses'!B61,0)</f>
        <v>47138</v>
      </c>
      <c r="AO9" s="31">
        <f>ROUND(AO6*'① Hypothèses'!B61,0)</f>
        <v>27593</v>
      </c>
      <c r="AP9" s="31">
        <f>ROUND(AP6*'① Hypothèses'!B61,0)</f>
        <v>30812</v>
      </c>
      <c r="AQ9" s="32">
        <f>SUM(AE9,AF9,AG9,AH9,AI9,AJ9,AK9,AL9,AM9,AN9,AO9,AP9)</f>
        <v>459199</v>
      </c>
    </row>
    <row r="10" spans="1:44" ht="15.75" customHeight="1" x14ac:dyDescent="0.2">
      <c r="A10" s="19" t="s">
        <v>124</v>
      </c>
      <c r="B10" s="2"/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40">
        <v>0</v>
      </c>
      <c r="P10" s="2"/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39">
        <v>0</v>
      </c>
      <c r="W10" s="39">
        <v>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40">
        <v>0</v>
      </c>
      <c r="AD10" s="2"/>
      <c r="AE10" s="39">
        <v>0</v>
      </c>
      <c r="AF10" s="39">
        <v>0</v>
      </c>
      <c r="AG10" s="39">
        <v>0</v>
      </c>
      <c r="AH10" s="39">
        <v>0</v>
      </c>
      <c r="AI10" s="39">
        <v>0</v>
      </c>
      <c r="AJ10" s="39">
        <v>0</v>
      </c>
      <c r="AK10" s="39">
        <v>0</v>
      </c>
      <c r="AL10" s="39">
        <v>0</v>
      </c>
      <c r="AM10" s="39">
        <v>0</v>
      </c>
      <c r="AN10" s="39">
        <v>0</v>
      </c>
      <c r="AO10" s="39">
        <v>0</v>
      </c>
      <c r="AP10" s="39">
        <v>0</v>
      </c>
      <c r="AQ10" s="40">
        <v>0</v>
      </c>
    </row>
    <row r="11" spans="1:44" ht="15.75" customHeight="1" x14ac:dyDescent="0.2">
      <c r="A11" s="24" t="s">
        <v>125</v>
      </c>
      <c r="B11" s="2"/>
      <c r="C11" s="25">
        <f t="shared" ref="C11:N11" si="0">C6+C7+C8+C9+C10</f>
        <v>122760</v>
      </c>
      <c r="D11" s="25">
        <f t="shared" si="0"/>
        <v>110880</v>
      </c>
      <c r="E11" s="25">
        <f t="shared" si="0"/>
        <v>180048</v>
      </c>
      <c r="F11" s="25">
        <f t="shared" si="0"/>
        <v>205920</v>
      </c>
      <c r="G11" s="25">
        <f t="shared" si="0"/>
        <v>229152</v>
      </c>
      <c r="H11" s="25">
        <f t="shared" si="0"/>
        <v>336600</v>
      </c>
      <c r="I11" s="25">
        <f t="shared" si="0"/>
        <v>409200</v>
      </c>
      <c r="J11" s="25">
        <f t="shared" si="0"/>
        <v>409200</v>
      </c>
      <c r="K11" s="25">
        <f t="shared" si="0"/>
        <v>396000</v>
      </c>
      <c r="L11" s="25">
        <f t="shared" si="0"/>
        <v>327360</v>
      </c>
      <c r="M11" s="25">
        <f t="shared" si="0"/>
        <v>190080</v>
      </c>
      <c r="N11" s="25">
        <f t="shared" si="0"/>
        <v>212784</v>
      </c>
      <c r="O11" s="26">
        <f>SUM(C11,D11,E11,F11,G11,H11,I11,J11,K11,L11,M11,N11)</f>
        <v>3129984</v>
      </c>
      <c r="P11" s="2"/>
      <c r="Q11" s="25">
        <f t="shared" ref="Q11:AB11" si="1">Q6+Q7+Q8+Q9+Q10</f>
        <v>206946</v>
      </c>
      <c r="R11" s="25">
        <f t="shared" si="1"/>
        <v>186920</v>
      </c>
      <c r="S11" s="25">
        <f t="shared" si="1"/>
        <v>227235</v>
      </c>
      <c r="T11" s="25">
        <f t="shared" si="1"/>
        <v>259174</v>
      </c>
      <c r="U11" s="25">
        <f t="shared" si="1"/>
        <v>288102</v>
      </c>
      <c r="V11" s="25">
        <f t="shared" si="1"/>
        <v>422140</v>
      </c>
      <c r="W11" s="25">
        <f t="shared" si="1"/>
        <v>507222</v>
      </c>
      <c r="X11" s="25">
        <f t="shared" si="1"/>
        <v>507222</v>
      </c>
      <c r="Y11" s="25">
        <f t="shared" si="1"/>
        <v>490860</v>
      </c>
      <c r="Z11" s="25">
        <f t="shared" si="1"/>
        <v>410849</v>
      </c>
      <c r="AA11" s="25">
        <f t="shared" si="1"/>
        <v>239541</v>
      </c>
      <c r="AB11" s="25">
        <f t="shared" si="1"/>
        <v>267813</v>
      </c>
      <c r="AC11" s="26">
        <f>SUM(Q11,R11,S11,T11,U11,V11,W11,X11,Y11,Z11,AA11,AB11)</f>
        <v>4014024</v>
      </c>
      <c r="AD11" s="2"/>
      <c r="AE11" s="25">
        <f t="shared" ref="AE11:AP11" si="2">AE6+AE7+AE8+AE9+AE10</f>
        <v>215226</v>
      </c>
      <c r="AF11" s="25">
        <f t="shared" si="2"/>
        <v>194397</v>
      </c>
      <c r="AG11" s="25">
        <f t="shared" si="2"/>
        <v>235920</v>
      </c>
      <c r="AH11" s="25">
        <f t="shared" si="2"/>
        <v>268363</v>
      </c>
      <c r="AI11" s="25">
        <f t="shared" si="2"/>
        <v>298002</v>
      </c>
      <c r="AJ11" s="25">
        <f t="shared" si="2"/>
        <v>435590</v>
      </c>
      <c r="AK11" s="25">
        <f t="shared" si="2"/>
        <v>517365</v>
      </c>
      <c r="AL11" s="25">
        <f t="shared" si="2"/>
        <v>517365</v>
      </c>
      <c r="AM11" s="25">
        <f t="shared" si="2"/>
        <v>500677</v>
      </c>
      <c r="AN11" s="25">
        <f t="shared" si="2"/>
        <v>424240</v>
      </c>
      <c r="AO11" s="25">
        <f t="shared" si="2"/>
        <v>248336</v>
      </c>
      <c r="AP11" s="25">
        <f t="shared" si="2"/>
        <v>277308</v>
      </c>
      <c r="AQ11" s="26">
        <f>SUM(AE11,AF11,AG11,AH11,AI11,AJ11,AK11,AL11,AM11,AN11,AO11,AP11)</f>
        <v>4132789</v>
      </c>
    </row>
    <row r="12" spans="1:44" ht="18" customHeight="1" x14ac:dyDescent="0.2">
      <c r="A12" s="103" t="s">
        <v>223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</row>
    <row r="13" spans="1:44" ht="15.75" customHeight="1" x14ac:dyDescent="0.2">
      <c r="A13" s="30" t="s">
        <v>126</v>
      </c>
      <c r="B13" s="2"/>
      <c r="C13" s="31">
        <f>ROUND(C6*'① Hypothèses'!B64,0)</f>
        <v>17856</v>
      </c>
      <c r="D13" s="31">
        <f>ROUND(D6*'① Hypothèses'!B64,0)</f>
        <v>16128</v>
      </c>
      <c r="E13" s="31">
        <f>ROUND(E6*'① Hypothèses'!B64,0)</f>
        <v>26189</v>
      </c>
      <c r="F13" s="31">
        <f>ROUND(F6*'① Hypothèses'!B64,0)</f>
        <v>29952</v>
      </c>
      <c r="G13" s="31">
        <f>ROUND(G6*'① Hypothèses'!B64,0)</f>
        <v>33331</v>
      </c>
      <c r="H13" s="31">
        <f>ROUND(H6*'① Hypothèses'!B64,0)</f>
        <v>48960</v>
      </c>
      <c r="I13" s="31">
        <f>ROUND(I6*'① Hypothèses'!B64,0)</f>
        <v>59520</v>
      </c>
      <c r="J13" s="31">
        <f>ROUND(J6*'① Hypothèses'!B64,0)</f>
        <v>59520</v>
      </c>
      <c r="K13" s="31">
        <f>ROUND(K6*'① Hypothèses'!B64,0)</f>
        <v>57600</v>
      </c>
      <c r="L13" s="31">
        <f>ROUND(L6*'① Hypothèses'!B64,0)</f>
        <v>47616</v>
      </c>
      <c r="M13" s="31">
        <f>ROUND(M6*'① Hypothèses'!B64,0)</f>
        <v>27648</v>
      </c>
      <c r="N13" s="31">
        <f>ROUND(N6*'① Hypothèses'!B64,0)</f>
        <v>30950</v>
      </c>
      <c r="O13" s="32">
        <f t="shared" ref="O13:O24" si="3">SUM(C13,D13,E13,F13,G13,H13,I13,J13,K13,L13,M13,N13)</f>
        <v>455270</v>
      </c>
      <c r="P13" s="2"/>
      <c r="Q13" s="31">
        <f>ROUND(Q6*'① Hypothèses'!B64,0)</f>
        <v>24527</v>
      </c>
      <c r="R13" s="31">
        <f>ROUND(R6*'① Hypothèses'!B64,0)</f>
        <v>22153</v>
      </c>
      <c r="S13" s="31">
        <f>ROUND(S6*'① Hypothèses'!B64,0)</f>
        <v>26932</v>
      </c>
      <c r="T13" s="31">
        <f>ROUND(T6*'① Hypothèses'!B64,0)</f>
        <v>30717</v>
      </c>
      <c r="U13" s="31">
        <f>ROUND(U6*'① Hypothèses'!B64,0)</f>
        <v>34145</v>
      </c>
      <c r="V13" s="31">
        <f>ROUND(V6*'① Hypothèses'!B64,0)</f>
        <v>50031</v>
      </c>
      <c r="W13" s="31">
        <f>ROUND(W6*'① Hypothèses'!B64,0)</f>
        <v>60115</v>
      </c>
      <c r="X13" s="31">
        <f>ROUND(X6*'① Hypothèses'!B64,0)</f>
        <v>60115</v>
      </c>
      <c r="Y13" s="31">
        <f>ROUND(Y6*'① Hypothèses'!B64,0)</f>
        <v>58176</v>
      </c>
      <c r="Z13" s="31">
        <f>ROUND(Z6*'① Hypothèses'!B64,0)</f>
        <v>48693</v>
      </c>
      <c r="AA13" s="31">
        <f>ROUND(AA6*'① Hypothèses'!B64,0)</f>
        <v>28390</v>
      </c>
      <c r="AB13" s="31">
        <f>ROUND(AB6*'① Hypothèses'!B64,0)</f>
        <v>31741</v>
      </c>
      <c r="AC13" s="32">
        <f t="shared" ref="AC13:AC24" si="4">SUM(Q13,R13,S13,T13,U13,V13,W13,X13,Y13,Z13,AA13,AB13)</f>
        <v>475735</v>
      </c>
      <c r="AD13" s="2"/>
      <c r="AE13" s="31">
        <f>ROUND(AE6*'① Hypothèses'!B64,0)</f>
        <v>25508</v>
      </c>
      <c r="AF13" s="31">
        <f>ROUND(AF6*'① Hypothèses'!B64,0)</f>
        <v>23040</v>
      </c>
      <c r="AG13" s="31">
        <f>ROUND(AG6*'① Hypothèses'!B64,0)</f>
        <v>27961</v>
      </c>
      <c r="AH13" s="31">
        <f>ROUND(AH6*'① Hypothèses'!B64,0)</f>
        <v>31806</v>
      </c>
      <c r="AI13" s="31">
        <f>ROUND(AI6*'① Hypothèses'!B64,0)</f>
        <v>35319</v>
      </c>
      <c r="AJ13" s="31">
        <f>ROUND(AJ6*'① Hypothèses'!B64,0)</f>
        <v>51625</v>
      </c>
      <c r="AK13" s="31">
        <f>ROUND(AK6*'① Hypothèses'!B64,0)</f>
        <v>61317</v>
      </c>
      <c r="AL13" s="31">
        <f>ROUND(AL6*'① Hypothèses'!B64,0)</f>
        <v>61317</v>
      </c>
      <c r="AM13" s="31">
        <f>ROUND(AM6*'① Hypothèses'!B64,0)</f>
        <v>59340</v>
      </c>
      <c r="AN13" s="31">
        <f>ROUND(AN6*'① Hypothèses'!B64,0)</f>
        <v>50280</v>
      </c>
      <c r="AO13" s="31">
        <f>ROUND(AO6*'① Hypothèses'!B64,0)</f>
        <v>29432</v>
      </c>
      <c r="AP13" s="31">
        <f>ROUND(AP6*'① Hypothèses'!B64,0)</f>
        <v>32866</v>
      </c>
      <c r="AQ13" s="32">
        <f t="shared" ref="AQ13:AQ24" si="5">SUM(AE13,AF13,AG13,AH13,AI13,AJ13,AK13,AL13,AM13,AN13,AO13,AP13)</f>
        <v>489811</v>
      </c>
    </row>
    <row r="14" spans="1:44" ht="15.75" customHeight="1" x14ac:dyDescent="0.2">
      <c r="A14" s="30" t="s">
        <v>127</v>
      </c>
      <c r="B14" s="2"/>
      <c r="C14" s="31">
        <f>ROUND(C7*'① Hypothèses'!B65,0)</f>
        <v>4464</v>
      </c>
      <c r="D14" s="31">
        <f>ROUND(D7*'① Hypothèses'!B65,0)</f>
        <v>4032</v>
      </c>
      <c r="E14" s="31">
        <f>ROUND(E7*'① Hypothèses'!B65,0)</f>
        <v>6547</v>
      </c>
      <c r="F14" s="31">
        <f>ROUND(F7*'① Hypothèses'!B65,0)</f>
        <v>7488</v>
      </c>
      <c r="G14" s="31">
        <f>ROUND(G7*'① Hypothèses'!B65,0)</f>
        <v>8333</v>
      </c>
      <c r="H14" s="31">
        <f>ROUND(H7*'① Hypothèses'!B65,0)</f>
        <v>12240</v>
      </c>
      <c r="I14" s="31">
        <f>ROUND(I7*'① Hypothèses'!B65,0)</f>
        <v>14880</v>
      </c>
      <c r="J14" s="31">
        <f>ROUND(J7*'① Hypothèses'!B65,0)</f>
        <v>14880</v>
      </c>
      <c r="K14" s="31">
        <f>ROUND(K7*'① Hypothèses'!B65,0)</f>
        <v>14400</v>
      </c>
      <c r="L14" s="31">
        <f>ROUND(L7*'① Hypothèses'!B65,0)</f>
        <v>11904</v>
      </c>
      <c r="M14" s="31">
        <f>ROUND(M7*'① Hypothèses'!B65,0)</f>
        <v>6912</v>
      </c>
      <c r="N14" s="31">
        <f>ROUND(N7*'① Hypothèses'!B65,0)</f>
        <v>7738</v>
      </c>
      <c r="O14" s="32">
        <f t="shared" si="3"/>
        <v>113818</v>
      </c>
      <c r="P14" s="2"/>
      <c r="Q14" s="31">
        <f>ROUND(Q7*'① Hypothèses'!B65,0)</f>
        <v>6132</v>
      </c>
      <c r="R14" s="31">
        <f>ROUND(R7*'① Hypothèses'!B65,0)</f>
        <v>5538</v>
      </c>
      <c r="S14" s="31">
        <f>ROUND(S7*'① Hypothèses'!B65,0)</f>
        <v>6733</v>
      </c>
      <c r="T14" s="31">
        <f>ROUND(T7*'① Hypothèses'!B65,0)</f>
        <v>7679</v>
      </c>
      <c r="U14" s="31">
        <f>ROUND(U7*'① Hypothèses'!B65,0)</f>
        <v>8536</v>
      </c>
      <c r="V14" s="31">
        <f>ROUND(V7*'① Hypothèses'!B65,0)</f>
        <v>12508</v>
      </c>
      <c r="W14" s="31">
        <f>ROUND(W7*'① Hypothèses'!B65,0)</f>
        <v>15029</v>
      </c>
      <c r="X14" s="31">
        <f>ROUND(X7*'① Hypothèses'!B65,0)</f>
        <v>15029</v>
      </c>
      <c r="Y14" s="31">
        <f>ROUND(Y7*'① Hypothèses'!B65,0)</f>
        <v>14544</v>
      </c>
      <c r="Z14" s="31">
        <f>ROUND(Z7*'① Hypothèses'!B65,0)</f>
        <v>12173</v>
      </c>
      <c r="AA14" s="31">
        <f>ROUND(AA7*'① Hypothèses'!B65,0)</f>
        <v>7098</v>
      </c>
      <c r="AB14" s="31">
        <f>ROUND(AB7*'① Hypothèses'!B65,0)</f>
        <v>7935</v>
      </c>
      <c r="AC14" s="32">
        <f t="shared" si="4"/>
        <v>118934</v>
      </c>
      <c r="AD14" s="2"/>
      <c r="AE14" s="31">
        <f>ROUND(AE7*'① Hypothèses'!B65,0)</f>
        <v>6377</v>
      </c>
      <c r="AF14" s="31">
        <f>ROUND(AF7*'① Hypothèses'!B65,0)</f>
        <v>5760</v>
      </c>
      <c r="AG14" s="31">
        <f>ROUND(AG7*'① Hypothèses'!B65,0)</f>
        <v>6990</v>
      </c>
      <c r="AH14" s="31">
        <f>ROUND(AH7*'① Hypothèses'!B65,0)</f>
        <v>7952</v>
      </c>
      <c r="AI14" s="31">
        <f>ROUND(AI7*'① Hypothèses'!B65,0)</f>
        <v>8830</v>
      </c>
      <c r="AJ14" s="31">
        <f>ROUND(AJ7*'① Hypothèses'!B65,0)</f>
        <v>12906</v>
      </c>
      <c r="AK14" s="31">
        <f>ROUND(AK7*'① Hypothèses'!B65,0)</f>
        <v>15329</v>
      </c>
      <c r="AL14" s="31">
        <f>ROUND(AL7*'① Hypothèses'!B65,0)</f>
        <v>15329</v>
      </c>
      <c r="AM14" s="31">
        <f>ROUND(AM7*'① Hypothèses'!B65,0)</f>
        <v>14835</v>
      </c>
      <c r="AN14" s="31">
        <f>ROUND(AN7*'① Hypothèses'!B65,0)</f>
        <v>12570</v>
      </c>
      <c r="AO14" s="31">
        <f>ROUND(AO7*'① Hypothèses'!B65,0)</f>
        <v>7358</v>
      </c>
      <c r="AP14" s="31">
        <f>ROUND(AP7*'① Hypothèses'!B65,0)</f>
        <v>8216</v>
      </c>
      <c r="AQ14" s="32">
        <f t="shared" si="5"/>
        <v>122452</v>
      </c>
    </row>
    <row r="15" spans="1:44" ht="15.75" customHeight="1" x14ac:dyDescent="0.2">
      <c r="A15" s="41" t="s">
        <v>128</v>
      </c>
      <c r="B15" s="2"/>
      <c r="C15" s="42">
        <f>'① Hypothèses'!B24</f>
        <v>27761</v>
      </c>
      <c r="D15" s="42">
        <f>'① Hypothèses'!B24</f>
        <v>27761</v>
      </c>
      <c r="E15" s="42">
        <f>'① Hypothèses'!B24</f>
        <v>27761</v>
      </c>
      <c r="F15" s="42">
        <f>'① Hypothèses'!B24</f>
        <v>27761</v>
      </c>
      <c r="G15" s="42">
        <f>'① Hypothèses'!B24</f>
        <v>27761</v>
      </c>
      <c r="H15" s="42">
        <f>'① Hypothèses'!B24</f>
        <v>27761</v>
      </c>
      <c r="I15" s="42">
        <f>'① Hypothèses'!B24</f>
        <v>27761</v>
      </c>
      <c r="J15" s="42">
        <f>'① Hypothèses'!B24</f>
        <v>27761</v>
      </c>
      <c r="K15" s="42">
        <f>'① Hypothèses'!B24</f>
        <v>27761</v>
      </c>
      <c r="L15" s="42">
        <f>'① Hypothèses'!B24</f>
        <v>27761</v>
      </c>
      <c r="M15" s="42">
        <f>'① Hypothèses'!B24</f>
        <v>27761</v>
      </c>
      <c r="N15" s="42">
        <f>'① Hypothèses'!B24</f>
        <v>27761</v>
      </c>
      <c r="O15" s="43">
        <f t="shared" si="3"/>
        <v>333132</v>
      </c>
      <c r="P15" s="2"/>
      <c r="Q15" s="42">
        <f>'① Hypothèses'!B24</f>
        <v>27761</v>
      </c>
      <c r="R15" s="42">
        <f>'① Hypothèses'!B24</f>
        <v>27761</v>
      </c>
      <c r="S15" s="42">
        <f>'① Hypothèses'!B24</f>
        <v>27761</v>
      </c>
      <c r="T15" s="42">
        <f>'① Hypothèses'!B24</f>
        <v>27761</v>
      </c>
      <c r="U15" s="42">
        <f>'① Hypothèses'!B24</f>
        <v>27761</v>
      </c>
      <c r="V15" s="42">
        <f>'① Hypothèses'!B24</f>
        <v>27761</v>
      </c>
      <c r="W15" s="42">
        <f>'① Hypothèses'!B24</f>
        <v>27761</v>
      </c>
      <c r="X15" s="42">
        <f>'① Hypothèses'!B24</f>
        <v>27761</v>
      </c>
      <c r="Y15" s="42">
        <f>'① Hypothèses'!B24</f>
        <v>27761</v>
      </c>
      <c r="Z15" s="42">
        <f>'① Hypothèses'!B24</f>
        <v>27761</v>
      </c>
      <c r="AA15" s="42">
        <f>'① Hypothèses'!B24</f>
        <v>27761</v>
      </c>
      <c r="AB15" s="42">
        <f>'① Hypothèses'!B24</f>
        <v>27761</v>
      </c>
      <c r="AC15" s="43">
        <f t="shared" si="4"/>
        <v>333132</v>
      </c>
      <c r="AD15" s="2"/>
      <c r="AE15" s="42">
        <f>'① Hypothèses'!B24</f>
        <v>27761</v>
      </c>
      <c r="AF15" s="42">
        <f>'① Hypothèses'!B24</f>
        <v>27761</v>
      </c>
      <c r="AG15" s="42">
        <f>'① Hypothèses'!B24</f>
        <v>27761</v>
      </c>
      <c r="AH15" s="42">
        <f>'① Hypothèses'!B24</f>
        <v>27761</v>
      </c>
      <c r="AI15" s="42">
        <f>'① Hypothèses'!B24</f>
        <v>27761</v>
      </c>
      <c r="AJ15" s="42">
        <f>'① Hypothèses'!B24</f>
        <v>27761</v>
      </c>
      <c r="AK15" s="42">
        <f>'① Hypothèses'!B24</f>
        <v>27761</v>
      </c>
      <c r="AL15" s="42">
        <f>'① Hypothèses'!B24</f>
        <v>27761</v>
      </c>
      <c r="AM15" s="42">
        <f>'① Hypothèses'!B24</f>
        <v>27761</v>
      </c>
      <c r="AN15" s="42">
        <f>'① Hypothèses'!B24</f>
        <v>27761</v>
      </c>
      <c r="AO15" s="42">
        <f>'① Hypothèses'!B24</f>
        <v>27761</v>
      </c>
      <c r="AP15" s="42">
        <f>'① Hypothèses'!B24</f>
        <v>27761</v>
      </c>
      <c r="AQ15" s="43">
        <f t="shared" si="5"/>
        <v>333132</v>
      </c>
    </row>
    <row r="16" spans="1:44" ht="15.75" customHeight="1" x14ac:dyDescent="0.2">
      <c r="A16" s="30" t="s">
        <v>129</v>
      </c>
      <c r="B16" s="2"/>
      <c r="C16" s="31">
        <f>ROUND('① Hypothèses'!B66/12,0)</f>
        <v>3750</v>
      </c>
      <c r="D16" s="31">
        <f>ROUND('① Hypothèses'!B66/12,0)</f>
        <v>3750</v>
      </c>
      <c r="E16" s="31">
        <f>ROUND('① Hypothèses'!B66/12,0)</f>
        <v>3750</v>
      </c>
      <c r="F16" s="31">
        <f>ROUND('① Hypothèses'!B66/12,0)</f>
        <v>3750</v>
      </c>
      <c r="G16" s="31">
        <f>ROUND('① Hypothèses'!B66/12,0)</f>
        <v>3750</v>
      </c>
      <c r="H16" s="31">
        <f>ROUND('① Hypothèses'!B66/12,0)</f>
        <v>3750</v>
      </c>
      <c r="I16" s="31">
        <f>ROUND('① Hypothèses'!B66/12,0)</f>
        <v>3750</v>
      </c>
      <c r="J16" s="31">
        <f>ROUND('① Hypothèses'!B66/12,0)</f>
        <v>3750</v>
      </c>
      <c r="K16" s="31">
        <f>ROUND('① Hypothèses'!B66/12,0)</f>
        <v>3750</v>
      </c>
      <c r="L16" s="31">
        <f>ROUND('① Hypothèses'!B66/12,0)</f>
        <v>3750</v>
      </c>
      <c r="M16" s="31">
        <f>ROUND('① Hypothèses'!B66/12,0)</f>
        <v>3750</v>
      </c>
      <c r="N16" s="31">
        <f>ROUND('① Hypothèses'!B66/12,0)</f>
        <v>3750</v>
      </c>
      <c r="O16" s="32">
        <f t="shared" si="3"/>
        <v>45000</v>
      </c>
      <c r="P16" s="2"/>
      <c r="Q16" s="31">
        <f>ROUND('① Hypothèses'!B66/12*(1+'① Hypothèses'!B55),0)</f>
        <v>3825</v>
      </c>
      <c r="R16" s="31">
        <f>ROUND('① Hypothèses'!B66/12*(1+'① Hypothèses'!B55),0)</f>
        <v>3825</v>
      </c>
      <c r="S16" s="31">
        <f>ROUND('① Hypothèses'!B66/12*(1+'① Hypothèses'!B55),0)</f>
        <v>3825</v>
      </c>
      <c r="T16" s="31">
        <f>ROUND('① Hypothèses'!B66/12*(1+'① Hypothèses'!B55),0)</f>
        <v>3825</v>
      </c>
      <c r="U16" s="31">
        <f>ROUND('① Hypothèses'!B66/12*(1+'① Hypothèses'!B55),0)</f>
        <v>3825</v>
      </c>
      <c r="V16" s="31">
        <f>ROUND('① Hypothèses'!B66/12*(1+'① Hypothèses'!B55),0)</f>
        <v>3825</v>
      </c>
      <c r="W16" s="31">
        <f>ROUND('① Hypothèses'!B66/12*(1+'① Hypothèses'!B55),0)</f>
        <v>3825</v>
      </c>
      <c r="X16" s="31">
        <f>ROUND('① Hypothèses'!B66/12*(1+'① Hypothèses'!B55),0)</f>
        <v>3825</v>
      </c>
      <c r="Y16" s="31">
        <f>ROUND('① Hypothèses'!B66/12*(1+'① Hypothèses'!B55),0)</f>
        <v>3825</v>
      </c>
      <c r="Z16" s="31">
        <f>ROUND('① Hypothèses'!B66/12*(1+'① Hypothèses'!B55),0)</f>
        <v>3825</v>
      </c>
      <c r="AA16" s="31">
        <f>ROUND('① Hypothèses'!B66/12*(1+'① Hypothèses'!B55),0)</f>
        <v>3825</v>
      </c>
      <c r="AB16" s="31">
        <f>ROUND('① Hypothèses'!B66/12*(1+'① Hypothèses'!B55),0)</f>
        <v>3825</v>
      </c>
      <c r="AC16" s="32">
        <f t="shared" si="4"/>
        <v>45900</v>
      </c>
      <c r="AD16" s="2"/>
      <c r="AE16" s="31">
        <f>ROUND('① Hypothèses'!B66/12*(1+'① Hypothèses'!B55)^2,0)</f>
        <v>3902</v>
      </c>
      <c r="AF16" s="31">
        <f>ROUND('① Hypothèses'!B66/12*(1+'① Hypothèses'!B55)^2,0)</f>
        <v>3902</v>
      </c>
      <c r="AG16" s="31">
        <f>ROUND('① Hypothèses'!B66/12*(1+'① Hypothèses'!B55)^2,0)</f>
        <v>3902</v>
      </c>
      <c r="AH16" s="31">
        <f>ROUND('① Hypothèses'!B66/12*(1+'① Hypothèses'!B55)^2,0)</f>
        <v>3902</v>
      </c>
      <c r="AI16" s="31">
        <f>ROUND('① Hypothèses'!B66/12*(1+'① Hypothèses'!B55)^2,0)</f>
        <v>3902</v>
      </c>
      <c r="AJ16" s="31">
        <f>ROUND('① Hypothèses'!B66/12*(1+'① Hypothèses'!B55)^2,0)</f>
        <v>3902</v>
      </c>
      <c r="AK16" s="31">
        <f>ROUND('① Hypothèses'!B66/12*(1+'① Hypothèses'!B55)^2,0)</f>
        <v>3902</v>
      </c>
      <c r="AL16" s="31">
        <f>ROUND('① Hypothèses'!B66/12*(1+'① Hypothèses'!B55)^2,0)</f>
        <v>3902</v>
      </c>
      <c r="AM16" s="31">
        <f>ROUND('① Hypothèses'!B66/12*(1+'① Hypothèses'!B55)^2,0)</f>
        <v>3902</v>
      </c>
      <c r="AN16" s="31">
        <f>ROUND('① Hypothèses'!B66/12*(1+'① Hypothèses'!B55)^2,0)</f>
        <v>3902</v>
      </c>
      <c r="AO16" s="31">
        <f>ROUND('① Hypothèses'!B66/12*(1+'① Hypothèses'!B55)^2,0)</f>
        <v>3902</v>
      </c>
      <c r="AP16" s="31">
        <f>ROUND('① Hypothèses'!B66/12*(1+'① Hypothèses'!B55)^2,0)</f>
        <v>3902</v>
      </c>
      <c r="AQ16" s="32">
        <f t="shared" si="5"/>
        <v>46824</v>
      </c>
    </row>
    <row r="17" spans="1:43" ht="15.75" customHeight="1" x14ac:dyDescent="0.2">
      <c r="A17" s="30" t="s">
        <v>130</v>
      </c>
      <c r="B17" s="2"/>
      <c r="C17" s="31">
        <f>ROUND('① Hypothèses'!B67,0)</f>
        <v>15000</v>
      </c>
      <c r="D17" s="31">
        <f>ROUND('① Hypothèses'!B67,0)</f>
        <v>15000</v>
      </c>
      <c r="E17" s="31">
        <f>ROUND('① Hypothèses'!B67,0)</f>
        <v>15000</v>
      </c>
      <c r="F17" s="31">
        <f>ROUND('① Hypothèses'!B67,0)</f>
        <v>15000</v>
      </c>
      <c r="G17" s="31">
        <f>ROUND('① Hypothèses'!B67,0)</f>
        <v>15000</v>
      </c>
      <c r="H17" s="31">
        <f>ROUND('① Hypothèses'!B67,0)</f>
        <v>15000</v>
      </c>
      <c r="I17" s="31">
        <f>ROUND('① Hypothèses'!B67,0)</f>
        <v>15000</v>
      </c>
      <c r="J17" s="31">
        <f>ROUND('① Hypothèses'!B67,0)</f>
        <v>15000</v>
      </c>
      <c r="K17" s="31">
        <f>ROUND('① Hypothèses'!B67,0)</f>
        <v>15000</v>
      </c>
      <c r="L17" s="31">
        <f>ROUND('① Hypothèses'!B67,0)</f>
        <v>15000</v>
      </c>
      <c r="M17" s="31">
        <f>ROUND('① Hypothèses'!B67,0)</f>
        <v>15000</v>
      </c>
      <c r="N17" s="31">
        <f>ROUND('① Hypothèses'!B67,0)</f>
        <v>15000</v>
      </c>
      <c r="O17" s="32">
        <f t="shared" si="3"/>
        <v>180000</v>
      </c>
      <c r="P17" s="2"/>
      <c r="Q17" s="31">
        <f>ROUND('① Hypothèses'!B67*(1+'① Hypothèses'!B55),0)</f>
        <v>15300</v>
      </c>
      <c r="R17" s="31">
        <f>ROUND('① Hypothèses'!B67*(1+'① Hypothèses'!B55),0)</f>
        <v>15300</v>
      </c>
      <c r="S17" s="31">
        <f>ROUND('① Hypothèses'!B67*(1+'① Hypothèses'!B55),0)</f>
        <v>15300</v>
      </c>
      <c r="T17" s="31">
        <f>ROUND('① Hypothèses'!B67*(1+'① Hypothèses'!B55),0)</f>
        <v>15300</v>
      </c>
      <c r="U17" s="31">
        <f>ROUND('① Hypothèses'!B67*(1+'① Hypothèses'!B55),0)</f>
        <v>15300</v>
      </c>
      <c r="V17" s="31">
        <f>ROUND('① Hypothèses'!B67*(1+'① Hypothèses'!B55),0)</f>
        <v>15300</v>
      </c>
      <c r="W17" s="31">
        <f>ROUND('① Hypothèses'!B67*(1+'① Hypothèses'!B55),0)</f>
        <v>15300</v>
      </c>
      <c r="X17" s="31">
        <f>ROUND('① Hypothèses'!B67*(1+'① Hypothèses'!B55),0)</f>
        <v>15300</v>
      </c>
      <c r="Y17" s="31">
        <f>ROUND('① Hypothèses'!B67*(1+'① Hypothèses'!B55),0)</f>
        <v>15300</v>
      </c>
      <c r="Z17" s="31">
        <f>ROUND('① Hypothèses'!B67*(1+'① Hypothèses'!B55),0)</f>
        <v>15300</v>
      </c>
      <c r="AA17" s="31">
        <f>ROUND('① Hypothèses'!B67*(1+'① Hypothèses'!B55),0)</f>
        <v>15300</v>
      </c>
      <c r="AB17" s="31">
        <f>ROUND('① Hypothèses'!B67*(1+'① Hypothèses'!B55),0)</f>
        <v>15300</v>
      </c>
      <c r="AC17" s="32">
        <f t="shared" si="4"/>
        <v>183600</v>
      </c>
      <c r="AD17" s="2"/>
      <c r="AE17" s="31">
        <f>ROUND('① Hypothèses'!B67*(1+'① Hypothèses'!B55)^2,0)</f>
        <v>15606</v>
      </c>
      <c r="AF17" s="31">
        <f>ROUND('① Hypothèses'!B67*(1+'① Hypothèses'!B55)^2,0)</f>
        <v>15606</v>
      </c>
      <c r="AG17" s="31">
        <f>ROUND('① Hypothèses'!B67*(1+'① Hypothèses'!B55)^2,0)</f>
        <v>15606</v>
      </c>
      <c r="AH17" s="31">
        <f>ROUND('① Hypothèses'!B67*(1+'① Hypothèses'!B55)^2,0)</f>
        <v>15606</v>
      </c>
      <c r="AI17" s="31">
        <f>ROUND('① Hypothèses'!B67*(1+'① Hypothèses'!B55)^2,0)</f>
        <v>15606</v>
      </c>
      <c r="AJ17" s="31">
        <f>ROUND('① Hypothèses'!B67*(1+'① Hypothèses'!B55)^2,0)</f>
        <v>15606</v>
      </c>
      <c r="AK17" s="31">
        <f>ROUND('① Hypothèses'!B67*(1+'① Hypothèses'!B55)^2,0)</f>
        <v>15606</v>
      </c>
      <c r="AL17" s="31">
        <f>ROUND('① Hypothèses'!B67*(1+'① Hypothèses'!B55)^2,0)</f>
        <v>15606</v>
      </c>
      <c r="AM17" s="31">
        <f>ROUND('① Hypothèses'!B67*(1+'① Hypothèses'!B55)^2,0)</f>
        <v>15606</v>
      </c>
      <c r="AN17" s="31">
        <f>ROUND('① Hypothèses'!B67*(1+'① Hypothèses'!B55)^2,0)</f>
        <v>15606</v>
      </c>
      <c r="AO17" s="31">
        <f>ROUND('① Hypothèses'!B67*(1+'① Hypothèses'!B55)^2,0)</f>
        <v>15606</v>
      </c>
      <c r="AP17" s="31">
        <f>ROUND('① Hypothèses'!B67*(1+'① Hypothèses'!B55)^2,0)</f>
        <v>15606</v>
      </c>
      <c r="AQ17" s="32">
        <f t="shared" si="5"/>
        <v>187272</v>
      </c>
    </row>
    <row r="18" spans="1:43" ht="15.75" customHeight="1" x14ac:dyDescent="0.2">
      <c r="A18" s="30" t="s">
        <v>131</v>
      </c>
      <c r="B18" s="2"/>
      <c r="C18" s="31">
        <f>ROUND('① Hypothèses'!B68/12,0)</f>
        <v>5833</v>
      </c>
      <c r="D18" s="31">
        <f>ROUND('① Hypothèses'!B68/12,0)</f>
        <v>5833</v>
      </c>
      <c r="E18" s="31">
        <f>ROUND('① Hypothèses'!B68/12,0)</f>
        <v>5833</v>
      </c>
      <c r="F18" s="31">
        <f>ROUND('① Hypothèses'!B68/12,0)</f>
        <v>5833</v>
      </c>
      <c r="G18" s="31">
        <f>ROUND('① Hypothèses'!B68/12,0)</f>
        <v>5833</v>
      </c>
      <c r="H18" s="31">
        <f>ROUND('① Hypothèses'!B68/12,0)</f>
        <v>5833</v>
      </c>
      <c r="I18" s="31">
        <f>ROUND('① Hypothèses'!B68/12,0)</f>
        <v>5833</v>
      </c>
      <c r="J18" s="31">
        <f>ROUND('① Hypothèses'!B68/12,0)</f>
        <v>5833</v>
      </c>
      <c r="K18" s="31">
        <f>ROUND('① Hypothèses'!B68/12,0)</f>
        <v>5833</v>
      </c>
      <c r="L18" s="31">
        <f>ROUND('① Hypothèses'!B68/12,0)</f>
        <v>5833</v>
      </c>
      <c r="M18" s="31">
        <f>ROUND('① Hypothèses'!B68/12,0)</f>
        <v>5833</v>
      </c>
      <c r="N18" s="31">
        <f>ROUND('① Hypothèses'!B68/12,0)</f>
        <v>5833</v>
      </c>
      <c r="O18" s="32">
        <f t="shared" si="3"/>
        <v>69996</v>
      </c>
      <c r="P18" s="2"/>
      <c r="Q18" s="31">
        <f>ROUND('① Hypothèses'!B68/12*(1+'① Hypothèses'!B55),0)</f>
        <v>5950</v>
      </c>
      <c r="R18" s="31">
        <f>ROUND('① Hypothèses'!B68/12*(1+'① Hypothèses'!B55),0)</f>
        <v>5950</v>
      </c>
      <c r="S18" s="31">
        <f>ROUND('① Hypothèses'!B68/12*(1+'① Hypothèses'!B55),0)</f>
        <v>5950</v>
      </c>
      <c r="T18" s="31">
        <f>ROUND('① Hypothèses'!B68/12*(1+'① Hypothèses'!B55),0)</f>
        <v>5950</v>
      </c>
      <c r="U18" s="31">
        <f>ROUND('① Hypothèses'!B68/12*(1+'① Hypothèses'!B55),0)</f>
        <v>5950</v>
      </c>
      <c r="V18" s="31">
        <f>ROUND('① Hypothèses'!B68/12*(1+'① Hypothèses'!B55),0)</f>
        <v>5950</v>
      </c>
      <c r="W18" s="31">
        <f>ROUND('① Hypothèses'!B68/12*(1+'① Hypothèses'!B55),0)</f>
        <v>5950</v>
      </c>
      <c r="X18" s="31">
        <f>ROUND('① Hypothèses'!B68/12*(1+'① Hypothèses'!B55),0)</f>
        <v>5950</v>
      </c>
      <c r="Y18" s="31">
        <f>ROUND('① Hypothèses'!B68/12*(1+'① Hypothèses'!B55),0)</f>
        <v>5950</v>
      </c>
      <c r="Z18" s="31">
        <f>ROUND('① Hypothèses'!B68/12*(1+'① Hypothèses'!B55),0)</f>
        <v>5950</v>
      </c>
      <c r="AA18" s="31">
        <f>ROUND('① Hypothèses'!B68/12*(1+'① Hypothèses'!B55),0)</f>
        <v>5950</v>
      </c>
      <c r="AB18" s="31">
        <f>ROUND('① Hypothèses'!B68/12*(1+'① Hypothèses'!B55),0)</f>
        <v>5950</v>
      </c>
      <c r="AC18" s="32">
        <f t="shared" si="4"/>
        <v>71400</v>
      </c>
      <c r="AD18" s="2"/>
      <c r="AE18" s="31">
        <f>ROUND('① Hypothèses'!B68/12*(1+'① Hypothèses'!B55)^2,0)</f>
        <v>6069</v>
      </c>
      <c r="AF18" s="31">
        <f>ROUND('① Hypothèses'!B68/12*(1+'① Hypothèses'!B55)^2,0)</f>
        <v>6069</v>
      </c>
      <c r="AG18" s="31">
        <f>ROUND('① Hypothèses'!B68/12*(1+'① Hypothèses'!B55)^2,0)</f>
        <v>6069</v>
      </c>
      <c r="AH18" s="31">
        <f>ROUND('① Hypothèses'!B68/12*(1+'① Hypothèses'!B55)^2,0)</f>
        <v>6069</v>
      </c>
      <c r="AI18" s="31">
        <f>ROUND('① Hypothèses'!B68/12*(1+'① Hypothèses'!B55)^2,0)</f>
        <v>6069</v>
      </c>
      <c r="AJ18" s="31">
        <f>ROUND('① Hypothèses'!B68/12*(1+'① Hypothèses'!B55)^2,0)</f>
        <v>6069</v>
      </c>
      <c r="AK18" s="31">
        <f>ROUND('① Hypothèses'!B68/12*(1+'① Hypothèses'!B55)^2,0)</f>
        <v>6069</v>
      </c>
      <c r="AL18" s="31">
        <f>ROUND('① Hypothèses'!B68/12*(1+'① Hypothèses'!B55)^2,0)</f>
        <v>6069</v>
      </c>
      <c r="AM18" s="31">
        <f>ROUND('① Hypothèses'!B68/12*(1+'① Hypothèses'!B55)^2,0)</f>
        <v>6069</v>
      </c>
      <c r="AN18" s="31">
        <f>ROUND('① Hypothèses'!B68/12*(1+'① Hypothèses'!B55)^2,0)</f>
        <v>6069</v>
      </c>
      <c r="AO18" s="31">
        <f>ROUND('① Hypothèses'!B68/12*(1+'① Hypothèses'!B55)^2,0)</f>
        <v>6069</v>
      </c>
      <c r="AP18" s="31">
        <f>ROUND('① Hypothèses'!B68/12*(1+'① Hypothèses'!B55)^2,0)</f>
        <v>6069</v>
      </c>
      <c r="AQ18" s="32">
        <f t="shared" si="5"/>
        <v>72828</v>
      </c>
    </row>
    <row r="19" spans="1:43" ht="15.75" customHeight="1" x14ac:dyDescent="0.2">
      <c r="A19" s="30" t="s">
        <v>132</v>
      </c>
      <c r="B19" s="2"/>
      <c r="C19" s="31">
        <f>ROUND('① Hypothèses'!B69/12,0)</f>
        <v>4167</v>
      </c>
      <c r="D19" s="31">
        <f>ROUND('① Hypothèses'!B69/12,0)</f>
        <v>4167</v>
      </c>
      <c r="E19" s="31">
        <f>ROUND('① Hypothèses'!B69/12,0)</f>
        <v>4167</v>
      </c>
      <c r="F19" s="31">
        <f>ROUND('① Hypothèses'!B69/12,0)</f>
        <v>4167</v>
      </c>
      <c r="G19" s="31">
        <f>ROUND('① Hypothèses'!B69/12,0)</f>
        <v>4167</v>
      </c>
      <c r="H19" s="31">
        <f>ROUND('① Hypothèses'!B69/12,0)</f>
        <v>4167</v>
      </c>
      <c r="I19" s="31">
        <f>ROUND('① Hypothèses'!B69/12,0)</f>
        <v>4167</v>
      </c>
      <c r="J19" s="31">
        <f>ROUND('① Hypothèses'!B69/12,0)</f>
        <v>4167</v>
      </c>
      <c r="K19" s="31">
        <f>ROUND('① Hypothèses'!B69/12,0)</f>
        <v>4167</v>
      </c>
      <c r="L19" s="31">
        <f>ROUND('① Hypothèses'!B69/12,0)</f>
        <v>4167</v>
      </c>
      <c r="M19" s="31">
        <f>ROUND('① Hypothèses'!B69/12,0)</f>
        <v>4167</v>
      </c>
      <c r="N19" s="31">
        <f>ROUND('① Hypothèses'!B69/12,0)</f>
        <v>4167</v>
      </c>
      <c r="O19" s="32">
        <f t="shared" si="3"/>
        <v>50004</v>
      </c>
      <c r="P19" s="2"/>
      <c r="Q19" s="31">
        <f>ROUND('① Hypothèses'!B69/12*(1+'① Hypothèses'!B55),0)</f>
        <v>4250</v>
      </c>
      <c r="R19" s="31">
        <f>ROUND('① Hypothèses'!B69/12*(1+'① Hypothèses'!B55),0)</f>
        <v>4250</v>
      </c>
      <c r="S19" s="31">
        <f>ROUND('① Hypothèses'!B69/12*(1+'① Hypothèses'!B55),0)</f>
        <v>4250</v>
      </c>
      <c r="T19" s="31">
        <f>ROUND('① Hypothèses'!B69/12*(1+'① Hypothèses'!B55),0)</f>
        <v>4250</v>
      </c>
      <c r="U19" s="31">
        <f>ROUND('① Hypothèses'!B69/12*(1+'① Hypothèses'!B55),0)</f>
        <v>4250</v>
      </c>
      <c r="V19" s="31">
        <f>ROUND('① Hypothèses'!B69/12*(1+'① Hypothèses'!B55),0)</f>
        <v>4250</v>
      </c>
      <c r="W19" s="31">
        <f>ROUND('① Hypothèses'!B69/12*(1+'① Hypothèses'!B55),0)</f>
        <v>4250</v>
      </c>
      <c r="X19" s="31">
        <f>ROUND('① Hypothèses'!B69/12*(1+'① Hypothèses'!B55),0)</f>
        <v>4250</v>
      </c>
      <c r="Y19" s="31">
        <f>ROUND('① Hypothèses'!B69/12*(1+'① Hypothèses'!B55),0)</f>
        <v>4250</v>
      </c>
      <c r="Z19" s="31">
        <f>ROUND('① Hypothèses'!B69/12*(1+'① Hypothèses'!B55),0)</f>
        <v>4250</v>
      </c>
      <c r="AA19" s="31">
        <f>ROUND('① Hypothèses'!B69/12*(1+'① Hypothèses'!B55),0)</f>
        <v>4250</v>
      </c>
      <c r="AB19" s="31">
        <f>ROUND('① Hypothèses'!B69/12*(1+'① Hypothèses'!B55),0)</f>
        <v>4250</v>
      </c>
      <c r="AC19" s="32">
        <f t="shared" si="4"/>
        <v>51000</v>
      </c>
      <c r="AD19" s="2"/>
      <c r="AE19" s="31">
        <f>ROUND('① Hypothèses'!B69/12*(1+'① Hypothèses'!B55)^2,0)</f>
        <v>4335</v>
      </c>
      <c r="AF19" s="31">
        <f>ROUND('① Hypothèses'!B69/12*(1+'① Hypothèses'!B55)^2,0)</f>
        <v>4335</v>
      </c>
      <c r="AG19" s="31">
        <f>ROUND('① Hypothèses'!B69/12*(1+'① Hypothèses'!B55)^2,0)</f>
        <v>4335</v>
      </c>
      <c r="AH19" s="31">
        <f>ROUND('① Hypothèses'!B69/12*(1+'① Hypothèses'!B55)^2,0)</f>
        <v>4335</v>
      </c>
      <c r="AI19" s="31">
        <f>ROUND('① Hypothèses'!B69/12*(1+'① Hypothèses'!B55)^2,0)</f>
        <v>4335</v>
      </c>
      <c r="AJ19" s="31">
        <f>ROUND('① Hypothèses'!B69/12*(1+'① Hypothèses'!B55)^2,0)</f>
        <v>4335</v>
      </c>
      <c r="AK19" s="31">
        <f>ROUND('① Hypothèses'!B69/12*(1+'① Hypothèses'!B55)^2,0)</f>
        <v>4335</v>
      </c>
      <c r="AL19" s="31">
        <f>ROUND('① Hypothèses'!B69/12*(1+'① Hypothèses'!B55)^2,0)</f>
        <v>4335</v>
      </c>
      <c r="AM19" s="31">
        <f>ROUND('① Hypothèses'!B69/12*(1+'① Hypothèses'!B55)^2,0)</f>
        <v>4335</v>
      </c>
      <c r="AN19" s="31">
        <f>ROUND('① Hypothèses'!B69/12*(1+'① Hypothèses'!B55)^2,0)</f>
        <v>4335</v>
      </c>
      <c r="AO19" s="31">
        <f>ROUND('① Hypothèses'!B69/12*(1+'① Hypothèses'!B55)^2,0)</f>
        <v>4335</v>
      </c>
      <c r="AP19" s="31">
        <f>ROUND('① Hypothèses'!B69/12*(1+'① Hypothèses'!B55)^2,0)</f>
        <v>4335</v>
      </c>
      <c r="AQ19" s="32">
        <f t="shared" si="5"/>
        <v>52020</v>
      </c>
    </row>
    <row r="20" spans="1:43" ht="15.75" customHeight="1" x14ac:dyDescent="0.2">
      <c r="A20" s="30" t="s">
        <v>133</v>
      </c>
      <c r="B20" s="2"/>
      <c r="C20" s="31">
        <f>ROUND('① Hypothèses'!B70/12,0)</f>
        <v>3750</v>
      </c>
      <c r="D20" s="31">
        <f>ROUND('① Hypothèses'!B70/12,0)</f>
        <v>3750</v>
      </c>
      <c r="E20" s="31">
        <f>ROUND('① Hypothèses'!B70/12,0)</f>
        <v>3750</v>
      </c>
      <c r="F20" s="31">
        <f>ROUND('① Hypothèses'!B70/12,0)</f>
        <v>3750</v>
      </c>
      <c r="G20" s="31">
        <f>ROUND('① Hypothèses'!B70/12,0)</f>
        <v>3750</v>
      </c>
      <c r="H20" s="31">
        <f>ROUND('① Hypothèses'!B70/12,0)</f>
        <v>3750</v>
      </c>
      <c r="I20" s="31">
        <f>ROUND('① Hypothèses'!B70/12,0)</f>
        <v>3750</v>
      </c>
      <c r="J20" s="31">
        <f>ROUND('① Hypothèses'!B70/12,0)</f>
        <v>3750</v>
      </c>
      <c r="K20" s="31">
        <f>ROUND('① Hypothèses'!B70/12,0)</f>
        <v>3750</v>
      </c>
      <c r="L20" s="31">
        <f>ROUND('① Hypothèses'!B70/12,0)</f>
        <v>3750</v>
      </c>
      <c r="M20" s="31">
        <f>ROUND('① Hypothèses'!B70/12,0)</f>
        <v>3750</v>
      </c>
      <c r="N20" s="31">
        <f>ROUND('① Hypothèses'!B70/12,0)</f>
        <v>3750</v>
      </c>
      <c r="O20" s="32">
        <f t="shared" si="3"/>
        <v>45000</v>
      </c>
      <c r="P20" s="2"/>
      <c r="Q20" s="31">
        <f>ROUND('① Hypothèses'!B70/12*(1+'① Hypothèses'!B55),0)</f>
        <v>3825</v>
      </c>
      <c r="R20" s="31">
        <f>ROUND('① Hypothèses'!B70/12*(1+'① Hypothèses'!B55),0)</f>
        <v>3825</v>
      </c>
      <c r="S20" s="31">
        <f>ROUND('① Hypothèses'!B70/12*(1+'① Hypothèses'!B55),0)</f>
        <v>3825</v>
      </c>
      <c r="T20" s="31">
        <f>ROUND('① Hypothèses'!B70/12*(1+'① Hypothèses'!B55),0)</f>
        <v>3825</v>
      </c>
      <c r="U20" s="31">
        <f>ROUND('① Hypothèses'!B70/12*(1+'① Hypothèses'!B55),0)</f>
        <v>3825</v>
      </c>
      <c r="V20" s="31">
        <f>ROUND('① Hypothèses'!B70/12*(1+'① Hypothèses'!B55),0)</f>
        <v>3825</v>
      </c>
      <c r="W20" s="31">
        <f>ROUND('① Hypothèses'!B70/12*(1+'① Hypothèses'!B55),0)</f>
        <v>3825</v>
      </c>
      <c r="X20" s="31">
        <f>ROUND('① Hypothèses'!B70/12*(1+'① Hypothèses'!B55),0)</f>
        <v>3825</v>
      </c>
      <c r="Y20" s="31">
        <f>ROUND('① Hypothèses'!B70/12*(1+'① Hypothèses'!B55),0)</f>
        <v>3825</v>
      </c>
      <c r="Z20" s="31">
        <f>ROUND('① Hypothèses'!B70/12*(1+'① Hypothèses'!B55),0)</f>
        <v>3825</v>
      </c>
      <c r="AA20" s="31">
        <f>ROUND('① Hypothèses'!B70/12*(1+'① Hypothèses'!B55),0)</f>
        <v>3825</v>
      </c>
      <c r="AB20" s="31">
        <f>ROUND('① Hypothèses'!B70/12*(1+'① Hypothèses'!B55),0)</f>
        <v>3825</v>
      </c>
      <c r="AC20" s="32">
        <f t="shared" si="4"/>
        <v>45900</v>
      </c>
      <c r="AD20" s="2"/>
      <c r="AE20" s="31">
        <f>ROUND('① Hypothèses'!B70/12*(1+'① Hypothèses'!B55)^2,0)</f>
        <v>3902</v>
      </c>
      <c r="AF20" s="31">
        <f>ROUND('① Hypothèses'!B70/12*(1+'① Hypothèses'!B55)^2,0)</f>
        <v>3902</v>
      </c>
      <c r="AG20" s="31">
        <f>ROUND('① Hypothèses'!B70/12*(1+'① Hypothèses'!B55)^2,0)</f>
        <v>3902</v>
      </c>
      <c r="AH20" s="31">
        <f>ROUND('① Hypothèses'!B70/12*(1+'① Hypothèses'!B55)^2,0)</f>
        <v>3902</v>
      </c>
      <c r="AI20" s="31">
        <f>ROUND('① Hypothèses'!B70/12*(1+'① Hypothèses'!B55)^2,0)</f>
        <v>3902</v>
      </c>
      <c r="AJ20" s="31">
        <f>ROUND('① Hypothèses'!B70/12*(1+'① Hypothèses'!B55)^2,0)</f>
        <v>3902</v>
      </c>
      <c r="AK20" s="31">
        <f>ROUND('① Hypothèses'!B70/12*(1+'① Hypothèses'!B55)^2,0)</f>
        <v>3902</v>
      </c>
      <c r="AL20" s="31">
        <f>ROUND('① Hypothèses'!B70/12*(1+'① Hypothèses'!B55)^2,0)</f>
        <v>3902</v>
      </c>
      <c r="AM20" s="31">
        <f>ROUND('① Hypothèses'!B70/12*(1+'① Hypothèses'!B55)^2,0)</f>
        <v>3902</v>
      </c>
      <c r="AN20" s="31">
        <f>ROUND('① Hypothèses'!B70/12*(1+'① Hypothèses'!B55)^2,0)</f>
        <v>3902</v>
      </c>
      <c r="AO20" s="31">
        <f>ROUND('① Hypothèses'!B70/12*(1+'① Hypothèses'!B55)^2,0)</f>
        <v>3902</v>
      </c>
      <c r="AP20" s="31">
        <f>ROUND('① Hypothèses'!B70/12*(1+'① Hypothèses'!B55)^2,0)</f>
        <v>3902</v>
      </c>
      <c r="AQ20" s="32">
        <f t="shared" si="5"/>
        <v>46824</v>
      </c>
    </row>
    <row r="21" spans="1:43" ht="15.75" customHeight="1" x14ac:dyDescent="0.2">
      <c r="A21" s="30" t="s">
        <v>134</v>
      </c>
      <c r="B21" s="2"/>
      <c r="C21" s="31">
        <f>ROUND('① Hypothèses'!B71/12,0)</f>
        <v>5417</v>
      </c>
      <c r="D21" s="31">
        <f>ROUND('① Hypothèses'!B71/12,0)</f>
        <v>5417</v>
      </c>
      <c r="E21" s="31">
        <f>ROUND('① Hypothèses'!B71/12,0)</f>
        <v>5417</v>
      </c>
      <c r="F21" s="31">
        <f>ROUND('① Hypothèses'!B71/12,0)</f>
        <v>5417</v>
      </c>
      <c r="G21" s="31">
        <f>ROUND('① Hypothèses'!B71/12,0)</f>
        <v>5417</v>
      </c>
      <c r="H21" s="31">
        <f>ROUND('① Hypothèses'!B71/12,0)</f>
        <v>5417</v>
      </c>
      <c r="I21" s="31">
        <f>ROUND('① Hypothèses'!B71/12,0)</f>
        <v>5417</v>
      </c>
      <c r="J21" s="31">
        <f>ROUND('① Hypothèses'!B71/12,0)</f>
        <v>5417</v>
      </c>
      <c r="K21" s="31">
        <f>ROUND('① Hypothèses'!B71/12,0)</f>
        <v>5417</v>
      </c>
      <c r="L21" s="31">
        <f>ROUND('① Hypothèses'!B71/12,0)</f>
        <v>5417</v>
      </c>
      <c r="M21" s="31">
        <f>ROUND('① Hypothèses'!B71/12,0)</f>
        <v>5417</v>
      </c>
      <c r="N21" s="31">
        <f>ROUND('① Hypothèses'!B71/12,0)</f>
        <v>5417</v>
      </c>
      <c r="O21" s="32">
        <f t="shared" si="3"/>
        <v>65004</v>
      </c>
      <c r="P21" s="2"/>
      <c r="Q21" s="31">
        <f>ROUND('① Hypothèses'!B71/12,0)</f>
        <v>5417</v>
      </c>
      <c r="R21" s="31">
        <f>ROUND('① Hypothèses'!B71/12,0)</f>
        <v>5417</v>
      </c>
      <c r="S21" s="31">
        <f>ROUND('① Hypothèses'!B71/12,0)</f>
        <v>5417</v>
      </c>
      <c r="T21" s="31">
        <f>ROUND('① Hypothèses'!B71/12,0)</f>
        <v>5417</v>
      </c>
      <c r="U21" s="31">
        <f>ROUND('① Hypothèses'!B71/12,0)</f>
        <v>5417</v>
      </c>
      <c r="V21" s="31">
        <f>ROUND('① Hypothèses'!B71/12,0)</f>
        <v>5417</v>
      </c>
      <c r="W21" s="31">
        <f>ROUND('① Hypothèses'!B71/12,0)</f>
        <v>5417</v>
      </c>
      <c r="X21" s="31">
        <f>ROUND('① Hypothèses'!B71/12,0)</f>
        <v>5417</v>
      </c>
      <c r="Y21" s="31">
        <f>ROUND('① Hypothèses'!B71/12,0)</f>
        <v>5417</v>
      </c>
      <c r="Z21" s="31">
        <f>ROUND('① Hypothèses'!B71/12,0)</f>
        <v>5417</v>
      </c>
      <c r="AA21" s="31">
        <f>ROUND('① Hypothèses'!B71/12,0)</f>
        <v>5417</v>
      </c>
      <c r="AB21" s="31">
        <f>ROUND('① Hypothèses'!B71/12,0)</f>
        <v>5417</v>
      </c>
      <c r="AC21" s="32">
        <f t="shared" si="4"/>
        <v>65004</v>
      </c>
      <c r="AD21" s="2"/>
      <c r="AE21" s="31">
        <f>ROUND('① Hypothèses'!B71/12,0)</f>
        <v>5417</v>
      </c>
      <c r="AF21" s="31">
        <f>ROUND('① Hypothèses'!B71/12,0)</f>
        <v>5417</v>
      </c>
      <c r="AG21" s="31">
        <f>ROUND('① Hypothèses'!B71/12,0)</f>
        <v>5417</v>
      </c>
      <c r="AH21" s="31">
        <f>ROUND('① Hypothèses'!B71/12,0)</f>
        <v>5417</v>
      </c>
      <c r="AI21" s="31">
        <f>ROUND('① Hypothèses'!B71/12,0)</f>
        <v>5417</v>
      </c>
      <c r="AJ21" s="31">
        <f>ROUND('① Hypothèses'!B71/12,0)</f>
        <v>5417</v>
      </c>
      <c r="AK21" s="31">
        <f>ROUND('① Hypothèses'!B71/12,0)</f>
        <v>5417</v>
      </c>
      <c r="AL21" s="31">
        <f>ROUND('① Hypothèses'!B71/12,0)</f>
        <v>5417</v>
      </c>
      <c r="AM21" s="31">
        <f>ROUND('① Hypothèses'!B71/12,0)</f>
        <v>5417</v>
      </c>
      <c r="AN21" s="31">
        <f>ROUND('① Hypothèses'!B71/12,0)</f>
        <v>5417</v>
      </c>
      <c r="AO21" s="31">
        <f>ROUND('① Hypothèses'!B71/12,0)</f>
        <v>5417</v>
      </c>
      <c r="AP21" s="31">
        <f>ROUND('① Hypothèses'!B71/12,0)</f>
        <v>5417</v>
      </c>
      <c r="AQ21" s="32">
        <f t="shared" si="5"/>
        <v>65004</v>
      </c>
    </row>
    <row r="22" spans="1:43" ht="15.75" customHeight="1" x14ac:dyDescent="0.2">
      <c r="A22" s="30" t="s">
        <v>135</v>
      </c>
      <c r="B22" s="2"/>
      <c r="C22" s="31">
        <f>ROUND('① Hypothèses'!B72/12,0)</f>
        <v>8333</v>
      </c>
      <c r="D22" s="31">
        <f>ROUND('① Hypothèses'!B72/12,0)</f>
        <v>8333</v>
      </c>
      <c r="E22" s="31">
        <f>ROUND('① Hypothèses'!B72/12,0)</f>
        <v>8333</v>
      </c>
      <c r="F22" s="31">
        <f>ROUND('① Hypothèses'!B72/12,0)</f>
        <v>8333</v>
      </c>
      <c r="G22" s="31">
        <f>ROUND('① Hypothèses'!B72/12,0)</f>
        <v>8333</v>
      </c>
      <c r="H22" s="31">
        <f>ROUND('① Hypothèses'!B72/12,0)</f>
        <v>8333</v>
      </c>
      <c r="I22" s="31">
        <f>ROUND('① Hypothèses'!B72/12,0)</f>
        <v>8333</v>
      </c>
      <c r="J22" s="31">
        <f>ROUND('① Hypothèses'!B72/12,0)</f>
        <v>8333</v>
      </c>
      <c r="K22" s="31">
        <f>ROUND('① Hypothèses'!B72/12,0)</f>
        <v>8333</v>
      </c>
      <c r="L22" s="31">
        <f>ROUND('① Hypothèses'!B72/12,0)</f>
        <v>8333</v>
      </c>
      <c r="M22" s="31">
        <f>ROUND('① Hypothèses'!B72/12,0)</f>
        <v>8333</v>
      </c>
      <c r="N22" s="31">
        <f>ROUND('① Hypothèses'!B72/12,0)</f>
        <v>8333</v>
      </c>
      <c r="O22" s="32">
        <f t="shared" si="3"/>
        <v>99996</v>
      </c>
      <c r="P22" s="2"/>
      <c r="Q22" s="31">
        <f>ROUND('① Hypothèses'!B72/12*(1+'① Hypothèses'!B55),0)</f>
        <v>8500</v>
      </c>
      <c r="R22" s="31">
        <f>ROUND('① Hypothèses'!B72/12*(1+'① Hypothèses'!B55),0)</f>
        <v>8500</v>
      </c>
      <c r="S22" s="31">
        <f>ROUND('① Hypothèses'!B72/12*(1+'① Hypothèses'!B55),0)</f>
        <v>8500</v>
      </c>
      <c r="T22" s="31">
        <f>ROUND('① Hypothèses'!B72/12*(1+'① Hypothèses'!B55),0)</f>
        <v>8500</v>
      </c>
      <c r="U22" s="31">
        <f>ROUND('① Hypothèses'!B72/12*(1+'① Hypothèses'!B55),0)</f>
        <v>8500</v>
      </c>
      <c r="V22" s="31">
        <f>ROUND('① Hypothèses'!B72/12*(1+'① Hypothèses'!B55),0)</f>
        <v>8500</v>
      </c>
      <c r="W22" s="31">
        <f>ROUND('① Hypothèses'!B72/12*(1+'① Hypothèses'!B55),0)</f>
        <v>8500</v>
      </c>
      <c r="X22" s="31">
        <f>ROUND('① Hypothèses'!B72/12*(1+'① Hypothèses'!B55),0)</f>
        <v>8500</v>
      </c>
      <c r="Y22" s="31">
        <f>ROUND('① Hypothèses'!B72/12*(1+'① Hypothèses'!B55),0)</f>
        <v>8500</v>
      </c>
      <c r="Z22" s="31">
        <f>ROUND('① Hypothèses'!B72/12*(1+'① Hypothèses'!B55),0)</f>
        <v>8500</v>
      </c>
      <c r="AA22" s="31">
        <f>ROUND('① Hypothèses'!B72/12*(1+'① Hypothèses'!B55),0)</f>
        <v>8500</v>
      </c>
      <c r="AB22" s="31">
        <f>ROUND('① Hypothèses'!B72/12*(1+'① Hypothèses'!B55),0)</f>
        <v>8500</v>
      </c>
      <c r="AC22" s="32">
        <f t="shared" si="4"/>
        <v>102000</v>
      </c>
      <c r="AD22" s="2"/>
      <c r="AE22" s="31">
        <f>ROUND('① Hypothèses'!B72/12*(1+'① Hypothèses'!B55)^2,0)</f>
        <v>8670</v>
      </c>
      <c r="AF22" s="31">
        <f>ROUND('① Hypothèses'!B72/12*(1+'① Hypothèses'!B55)^2,0)</f>
        <v>8670</v>
      </c>
      <c r="AG22" s="31">
        <f>ROUND('① Hypothèses'!B72/12*(1+'① Hypothèses'!B55)^2,0)</f>
        <v>8670</v>
      </c>
      <c r="AH22" s="31">
        <f>ROUND('① Hypothèses'!B72/12*(1+'① Hypothèses'!B55)^2,0)</f>
        <v>8670</v>
      </c>
      <c r="AI22" s="31">
        <f>ROUND('① Hypothèses'!B72/12*(1+'① Hypothèses'!B55)^2,0)</f>
        <v>8670</v>
      </c>
      <c r="AJ22" s="31">
        <f>ROUND('① Hypothèses'!B72/12*(1+'① Hypothèses'!B55)^2,0)</f>
        <v>8670</v>
      </c>
      <c r="AK22" s="31">
        <f>ROUND('① Hypothèses'!B72/12*(1+'① Hypothèses'!B55)^2,0)</f>
        <v>8670</v>
      </c>
      <c r="AL22" s="31">
        <f>ROUND('① Hypothèses'!B72/12*(1+'① Hypothèses'!B55)^2,0)</f>
        <v>8670</v>
      </c>
      <c r="AM22" s="31">
        <f>ROUND('① Hypothèses'!B72/12*(1+'① Hypothèses'!B55)^2,0)</f>
        <v>8670</v>
      </c>
      <c r="AN22" s="31">
        <f>ROUND('① Hypothèses'!B72/12*(1+'① Hypothèses'!B55)^2,0)</f>
        <v>8670</v>
      </c>
      <c r="AO22" s="31">
        <f>ROUND('① Hypothèses'!B72/12*(1+'① Hypothèses'!B55)^2,0)</f>
        <v>8670</v>
      </c>
      <c r="AP22" s="31">
        <f>ROUND('① Hypothèses'!B72/12*(1+'① Hypothèses'!B55)^2,0)</f>
        <v>8670</v>
      </c>
      <c r="AQ22" s="32">
        <f t="shared" si="5"/>
        <v>104040</v>
      </c>
    </row>
    <row r="23" spans="1:43" ht="15.75" customHeight="1" x14ac:dyDescent="0.2">
      <c r="A23" s="30" t="s">
        <v>136</v>
      </c>
      <c r="B23" s="2"/>
      <c r="C23" s="31">
        <f>ROUND('① Hypothèses'!B73/12,0)</f>
        <v>10000</v>
      </c>
      <c r="D23" s="31">
        <f>ROUND('① Hypothèses'!B73/12,0)</f>
        <v>10000</v>
      </c>
      <c r="E23" s="31">
        <f>ROUND('① Hypothèses'!B73/12,0)</f>
        <v>10000</v>
      </c>
      <c r="F23" s="31">
        <f>ROUND('① Hypothèses'!B73/12,0)</f>
        <v>10000</v>
      </c>
      <c r="G23" s="31">
        <f>ROUND('① Hypothèses'!B73/12,0)</f>
        <v>10000</v>
      </c>
      <c r="H23" s="31">
        <f>ROUND('① Hypothèses'!B73/12,0)</f>
        <v>10000</v>
      </c>
      <c r="I23" s="31">
        <f>ROUND('① Hypothèses'!B73/12,0)</f>
        <v>10000</v>
      </c>
      <c r="J23" s="31">
        <f>ROUND('① Hypothèses'!B73/12,0)</f>
        <v>10000</v>
      </c>
      <c r="K23" s="31">
        <f>ROUND('① Hypothèses'!B73/12,0)</f>
        <v>10000</v>
      </c>
      <c r="L23" s="31">
        <f>ROUND('① Hypothèses'!B73/12,0)</f>
        <v>10000</v>
      </c>
      <c r="M23" s="31">
        <f>ROUND('① Hypothèses'!B73/12,0)</f>
        <v>10000</v>
      </c>
      <c r="N23" s="31">
        <f>ROUND('① Hypothèses'!B73/12,0)</f>
        <v>10000</v>
      </c>
      <c r="O23" s="32">
        <f t="shared" si="3"/>
        <v>120000</v>
      </c>
      <c r="P23" s="2"/>
      <c r="Q23" s="31">
        <f>ROUND('① Hypothèses'!B73/12,0)</f>
        <v>10000</v>
      </c>
      <c r="R23" s="31">
        <f>ROUND('① Hypothèses'!B73/12,0)</f>
        <v>10000</v>
      </c>
      <c r="S23" s="31">
        <f>ROUND('① Hypothèses'!B73/12,0)</f>
        <v>10000</v>
      </c>
      <c r="T23" s="31">
        <f>ROUND('① Hypothèses'!B73/12,0)</f>
        <v>10000</v>
      </c>
      <c r="U23" s="31">
        <f>ROUND('① Hypothèses'!B73/12,0)</f>
        <v>10000</v>
      </c>
      <c r="V23" s="31">
        <f>ROUND('① Hypothèses'!B73/12,0)</f>
        <v>10000</v>
      </c>
      <c r="W23" s="31">
        <f>ROUND('① Hypothèses'!B73/12,0)</f>
        <v>10000</v>
      </c>
      <c r="X23" s="31">
        <f>ROUND('① Hypothèses'!B73/12,0)</f>
        <v>10000</v>
      </c>
      <c r="Y23" s="31">
        <f>ROUND('① Hypothèses'!B73/12,0)</f>
        <v>10000</v>
      </c>
      <c r="Z23" s="31">
        <f>ROUND('① Hypothèses'!B73/12,0)</f>
        <v>10000</v>
      </c>
      <c r="AA23" s="31">
        <f>ROUND('① Hypothèses'!B73/12,0)</f>
        <v>10000</v>
      </c>
      <c r="AB23" s="31">
        <f>ROUND('① Hypothèses'!B73/12,0)</f>
        <v>10000</v>
      </c>
      <c r="AC23" s="32">
        <f t="shared" si="4"/>
        <v>120000</v>
      </c>
      <c r="AD23" s="2"/>
      <c r="AE23" s="31">
        <f>ROUND('① Hypothèses'!B73/12,0)</f>
        <v>10000</v>
      </c>
      <c r="AF23" s="31">
        <f>ROUND('① Hypothèses'!B73/12,0)</f>
        <v>10000</v>
      </c>
      <c r="AG23" s="31">
        <f>ROUND('① Hypothèses'!B73/12,0)</f>
        <v>10000</v>
      </c>
      <c r="AH23" s="31">
        <f>ROUND('① Hypothèses'!B73/12,0)</f>
        <v>10000</v>
      </c>
      <c r="AI23" s="31">
        <f>ROUND('① Hypothèses'!B73/12,0)</f>
        <v>10000</v>
      </c>
      <c r="AJ23" s="31">
        <f>ROUND('① Hypothèses'!B73/12,0)</f>
        <v>10000</v>
      </c>
      <c r="AK23" s="31">
        <f>ROUND('① Hypothèses'!B73/12,0)</f>
        <v>10000</v>
      </c>
      <c r="AL23" s="31">
        <f>ROUND('① Hypothèses'!B73/12,0)</f>
        <v>10000</v>
      </c>
      <c r="AM23" s="31">
        <f>ROUND('① Hypothèses'!B73/12,0)</f>
        <v>10000</v>
      </c>
      <c r="AN23" s="31">
        <f>ROUND('① Hypothèses'!B73/12,0)</f>
        <v>10000</v>
      </c>
      <c r="AO23" s="31">
        <f>ROUND('① Hypothèses'!B73/12,0)</f>
        <v>10000</v>
      </c>
      <c r="AP23" s="31">
        <f>ROUND('① Hypothèses'!B73/12,0)</f>
        <v>10000</v>
      </c>
      <c r="AQ23" s="32">
        <f t="shared" si="5"/>
        <v>120000</v>
      </c>
    </row>
    <row r="24" spans="1:43" ht="15.75" customHeight="1" x14ac:dyDescent="0.2">
      <c r="A24" s="44" t="s">
        <v>137</v>
      </c>
      <c r="B24" s="2"/>
      <c r="C24" s="45">
        <f t="shared" ref="C24:N24" si="6">C13+C14+C15+C16+C17+C18+C19+C20+C21+C22+C23</f>
        <v>106331</v>
      </c>
      <c r="D24" s="45">
        <f t="shared" si="6"/>
        <v>104171</v>
      </c>
      <c r="E24" s="45">
        <f t="shared" si="6"/>
        <v>116747</v>
      </c>
      <c r="F24" s="45">
        <f t="shared" si="6"/>
        <v>121451</v>
      </c>
      <c r="G24" s="45">
        <f t="shared" si="6"/>
        <v>125675</v>
      </c>
      <c r="H24" s="45">
        <f t="shared" si="6"/>
        <v>145211</v>
      </c>
      <c r="I24" s="45">
        <f t="shared" si="6"/>
        <v>158411</v>
      </c>
      <c r="J24" s="45">
        <f t="shared" si="6"/>
        <v>158411</v>
      </c>
      <c r="K24" s="45">
        <f t="shared" si="6"/>
        <v>156011</v>
      </c>
      <c r="L24" s="45">
        <f t="shared" si="6"/>
        <v>143531</v>
      </c>
      <c r="M24" s="45">
        <f t="shared" si="6"/>
        <v>118571</v>
      </c>
      <c r="N24" s="45">
        <f t="shared" si="6"/>
        <v>122699</v>
      </c>
      <c r="O24" s="26">
        <f t="shared" si="3"/>
        <v>1577220</v>
      </c>
      <c r="P24" s="2"/>
      <c r="Q24" s="45">
        <f t="shared" ref="Q24:AB24" si="7">Q13+Q14+Q15+Q16+Q17+Q18+Q19+Q20+Q21+Q22+Q23</f>
        <v>115487</v>
      </c>
      <c r="R24" s="45">
        <f t="shared" si="7"/>
        <v>112519</v>
      </c>
      <c r="S24" s="45">
        <f t="shared" si="7"/>
        <v>118493</v>
      </c>
      <c r="T24" s="45">
        <f t="shared" si="7"/>
        <v>123224</v>
      </c>
      <c r="U24" s="45">
        <f t="shared" si="7"/>
        <v>127509</v>
      </c>
      <c r="V24" s="45">
        <f t="shared" si="7"/>
        <v>147367</v>
      </c>
      <c r="W24" s="45">
        <f t="shared" si="7"/>
        <v>159972</v>
      </c>
      <c r="X24" s="45">
        <f t="shared" si="7"/>
        <v>159972</v>
      </c>
      <c r="Y24" s="45">
        <f t="shared" si="7"/>
        <v>157548</v>
      </c>
      <c r="Z24" s="45">
        <f t="shared" si="7"/>
        <v>145694</v>
      </c>
      <c r="AA24" s="45">
        <f t="shared" si="7"/>
        <v>120316</v>
      </c>
      <c r="AB24" s="45">
        <f t="shared" si="7"/>
        <v>124504</v>
      </c>
      <c r="AC24" s="26">
        <f t="shared" si="4"/>
        <v>1612605</v>
      </c>
      <c r="AD24" s="2"/>
      <c r="AE24" s="45">
        <f t="shared" ref="AE24:AP24" si="8">AE13+AE14+AE15+AE16+AE17+AE18+AE19+AE20+AE21+AE22+AE23</f>
        <v>117547</v>
      </c>
      <c r="AF24" s="45">
        <f t="shared" si="8"/>
        <v>114462</v>
      </c>
      <c r="AG24" s="45">
        <f t="shared" si="8"/>
        <v>120613</v>
      </c>
      <c r="AH24" s="45">
        <f t="shared" si="8"/>
        <v>125420</v>
      </c>
      <c r="AI24" s="45">
        <f t="shared" si="8"/>
        <v>129811</v>
      </c>
      <c r="AJ24" s="45">
        <f t="shared" si="8"/>
        <v>150193</v>
      </c>
      <c r="AK24" s="45">
        <f t="shared" si="8"/>
        <v>162308</v>
      </c>
      <c r="AL24" s="45">
        <f t="shared" si="8"/>
        <v>162308</v>
      </c>
      <c r="AM24" s="45">
        <f t="shared" si="8"/>
        <v>159837</v>
      </c>
      <c r="AN24" s="45">
        <f t="shared" si="8"/>
        <v>148512</v>
      </c>
      <c r="AO24" s="45">
        <f t="shared" si="8"/>
        <v>122452</v>
      </c>
      <c r="AP24" s="45">
        <f t="shared" si="8"/>
        <v>126744</v>
      </c>
      <c r="AQ24" s="26">
        <f t="shared" si="5"/>
        <v>1640207</v>
      </c>
    </row>
    <row r="25" spans="1:43" ht="18" customHeight="1" x14ac:dyDescent="0.2">
      <c r="A25" s="109" t="s">
        <v>224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</row>
    <row r="26" spans="1:43" ht="15.75" customHeight="1" x14ac:dyDescent="0.2">
      <c r="A26" s="30" t="s">
        <v>138</v>
      </c>
      <c r="B26" s="2"/>
      <c r="C26" s="31">
        <f>ROUND(2*'① Hypothèses'!B79,0)</f>
        <v>11000</v>
      </c>
      <c r="D26" s="31">
        <f>ROUND(2*'① Hypothèses'!B79,0)</f>
        <v>11000</v>
      </c>
      <c r="E26" s="31">
        <f>ROUND(3*'① Hypothèses'!B79,0)</f>
        <v>16500</v>
      </c>
      <c r="F26" s="31">
        <f>ROUND(3*'① Hypothèses'!B79,0)</f>
        <v>16500</v>
      </c>
      <c r="G26" s="31">
        <f>ROUND('① Hypothèses'!B78*'① Hypothèses'!B79,0)</f>
        <v>22000</v>
      </c>
      <c r="H26" s="31">
        <f>ROUND('① Hypothèses'!B78*'① Hypothèses'!B79,0)</f>
        <v>22000</v>
      </c>
      <c r="I26" s="31">
        <f>ROUND('① Hypothèses'!B78*'① Hypothèses'!B79,0)</f>
        <v>22000</v>
      </c>
      <c r="J26" s="31">
        <f>ROUND('① Hypothèses'!B78*'① Hypothèses'!B79,0)</f>
        <v>22000</v>
      </c>
      <c r="K26" s="31">
        <f>ROUND('① Hypothèses'!B78*'① Hypothèses'!B79,0)</f>
        <v>22000</v>
      </c>
      <c r="L26" s="31">
        <f>ROUND('① Hypothèses'!B78*'① Hypothèses'!B79,0)</f>
        <v>22000</v>
      </c>
      <c r="M26" s="31">
        <f>ROUND('① Hypothèses'!B78*'① Hypothèses'!B79,0)</f>
        <v>22000</v>
      </c>
      <c r="N26" s="31">
        <f>ROUND('① Hypothèses'!B78*'① Hypothèses'!B79,0)</f>
        <v>22000</v>
      </c>
      <c r="O26" s="32">
        <f>SUM(C26,D26,E26,F26,G26,H26,I26,J26,K26,L26,M26,N26)</f>
        <v>231000</v>
      </c>
      <c r="P26" s="2"/>
      <c r="Q26" s="31">
        <f>ROUND('① Hypothèses'!B78*'① Hypothèses'!B79*(1+'① Hypothèses'!B56),0)</f>
        <v>22440</v>
      </c>
      <c r="R26" s="31">
        <f>ROUND('① Hypothèses'!B78*'① Hypothèses'!B79*(1+'① Hypothèses'!B56),0)</f>
        <v>22440</v>
      </c>
      <c r="S26" s="31">
        <f>ROUND('① Hypothèses'!B78*'① Hypothèses'!B79*(1+'① Hypothèses'!B56),0)</f>
        <v>22440</v>
      </c>
      <c r="T26" s="31">
        <f>ROUND('① Hypothèses'!B78*'① Hypothèses'!B79*(1+'① Hypothèses'!B56),0)</f>
        <v>22440</v>
      </c>
      <c r="U26" s="31">
        <f>ROUND('① Hypothèses'!B78*'① Hypothèses'!B79*(1+'① Hypothèses'!B56),0)</f>
        <v>22440</v>
      </c>
      <c r="V26" s="31">
        <f>ROUND('① Hypothèses'!B78*'① Hypothèses'!B79*(1+'① Hypothèses'!B56),0)</f>
        <v>22440</v>
      </c>
      <c r="W26" s="31">
        <f>ROUND('① Hypothèses'!B78*'① Hypothèses'!B79*(1+'① Hypothèses'!B56),0)</f>
        <v>22440</v>
      </c>
      <c r="X26" s="31">
        <f>ROUND('① Hypothèses'!B78*'① Hypothèses'!B79*(1+'① Hypothèses'!B56),0)</f>
        <v>22440</v>
      </c>
      <c r="Y26" s="31">
        <f>ROUND('① Hypothèses'!B78*'① Hypothèses'!B79*(1+'① Hypothèses'!B56),0)</f>
        <v>22440</v>
      </c>
      <c r="Z26" s="31">
        <f>ROUND('① Hypothèses'!B78*'① Hypothèses'!B79*(1+'① Hypothèses'!B56),0)</f>
        <v>22440</v>
      </c>
      <c r="AA26" s="31">
        <f>ROUND('① Hypothèses'!B78*'① Hypothèses'!B79*(1+'① Hypothèses'!B56),0)</f>
        <v>22440</v>
      </c>
      <c r="AB26" s="31">
        <f>ROUND('① Hypothèses'!B78*'① Hypothèses'!B79*(1+'① Hypothèses'!B56),0)</f>
        <v>22440</v>
      </c>
      <c r="AC26" s="32">
        <f>SUM(Q26,R26,S26,T26,U26,V26,W26,X26,Y26,Z26,AA26,AB26)</f>
        <v>269280</v>
      </c>
      <c r="AD26" s="2"/>
      <c r="AE26" s="31">
        <f>ROUND('① Hypothèses'!B78*'① Hypothèses'!B79*(1+'① Hypothèses'!B56)^2,0)</f>
        <v>22889</v>
      </c>
      <c r="AF26" s="31">
        <f>ROUND('① Hypothèses'!B78*'① Hypothèses'!B79*(1+'① Hypothèses'!B56)^2,0)</f>
        <v>22889</v>
      </c>
      <c r="AG26" s="31">
        <f>ROUND('① Hypothèses'!B78*'① Hypothèses'!B79*(1+'① Hypothèses'!B56)^2,0)</f>
        <v>22889</v>
      </c>
      <c r="AH26" s="31">
        <f>ROUND('① Hypothèses'!B78*'① Hypothèses'!B79*(1+'① Hypothèses'!B56)^2,0)</f>
        <v>22889</v>
      </c>
      <c r="AI26" s="31">
        <f>ROUND('① Hypothèses'!B78*'① Hypothèses'!B79*(1+'① Hypothèses'!B56)^2,0)</f>
        <v>22889</v>
      </c>
      <c r="AJ26" s="31">
        <f>ROUND('① Hypothèses'!B78*'① Hypothèses'!B79*(1+'① Hypothèses'!B56)^2,0)</f>
        <v>22889</v>
      </c>
      <c r="AK26" s="31">
        <f>ROUND('① Hypothèses'!B78*'① Hypothèses'!B79*(1+'① Hypothèses'!B56)^2,0)</f>
        <v>22889</v>
      </c>
      <c r="AL26" s="31">
        <f>ROUND('① Hypothèses'!B78*'① Hypothèses'!B79*(1+'① Hypothèses'!B56)^2,0)</f>
        <v>22889</v>
      </c>
      <c r="AM26" s="31">
        <f>ROUND('① Hypothèses'!B78*'① Hypothèses'!B79*(1+'① Hypothèses'!B56)^2,0)</f>
        <v>22889</v>
      </c>
      <c r="AN26" s="31">
        <f>ROUND('① Hypothèses'!B78*'① Hypothèses'!B79*(1+'① Hypothèses'!B56)^2,0)</f>
        <v>22889</v>
      </c>
      <c r="AO26" s="31">
        <f>ROUND('① Hypothèses'!B78*'① Hypothèses'!B79*(1+'① Hypothèses'!B56)^2,0)</f>
        <v>22889</v>
      </c>
      <c r="AP26" s="31">
        <f>ROUND('① Hypothèses'!B78*'① Hypothèses'!B79*(1+'① Hypothèses'!B56)^2,0)</f>
        <v>22889</v>
      </c>
      <c r="AQ26" s="32">
        <f>SUM(AE26,AF26,AG26,AH26,AI26,AJ26,AK26,AL26,AM26,AN26,AO26,AP26)</f>
        <v>274668</v>
      </c>
    </row>
    <row r="27" spans="1:43" ht="15.75" customHeight="1" x14ac:dyDescent="0.2">
      <c r="A27" s="30" t="s">
        <v>139</v>
      </c>
      <c r="B27" s="2"/>
      <c r="C27" s="31">
        <f>ROUND(C26*'① Hypothèses'!B80,0)</f>
        <v>2970</v>
      </c>
      <c r="D27" s="31">
        <f>ROUND(D26*'① Hypothèses'!B80,0)</f>
        <v>2970</v>
      </c>
      <c r="E27" s="31">
        <f>ROUND(E26*'① Hypothèses'!B80,0)</f>
        <v>4455</v>
      </c>
      <c r="F27" s="31">
        <f>ROUND(F26*'① Hypothèses'!B80,0)</f>
        <v>4455</v>
      </c>
      <c r="G27" s="31">
        <f>ROUND(G26*'① Hypothèses'!B80,0)</f>
        <v>5940</v>
      </c>
      <c r="H27" s="31">
        <f>ROUND(H26*'① Hypothèses'!B80,0)</f>
        <v>5940</v>
      </c>
      <c r="I27" s="31">
        <f>ROUND(I26*'① Hypothèses'!B80,0)</f>
        <v>5940</v>
      </c>
      <c r="J27" s="31">
        <f>ROUND(J26*'① Hypothèses'!B80,0)</f>
        <v>5940</v>
      </c>
      <c r="K27" s="31">
        <f>ROUND(K26*'① Hypothèses'!B80,0)</f>
        <v>5940</v>
      </c>
      <c r="L27" s="31">
        <f>ROUND(L26*'① Hypothèses'!B80,0)</f>
        <v>5940</v>
      </c>
      <c r="M27" s="31">
        <f>ROUND(M26*'① Hypothèses'!B80,0)</f>
        <v>5940</v>
      </c>
      <c r="N27" s="31">
        <f>ROUND(N26*'① Hypothèses'!B80,0)</f>
        <v>5940</v>
      </c>
      <c r="O27" s="32">
        <f>SUM(C27,D27,E27,F27,G27,H27,I27,J27,K27,L27,M27,N27)</f>
        <v>62370</v>
      </c>
      <c r="P27" s="2"/>
      <c r="Q27" s="31">
        <f>ROUND(Q26*'① Hypothèses'!B80,0)</f>
        <v>6059</v>
      </c>
      <c r="R27" s="31">
        <f>ROUND(R26*'① Hypothèses'!B80,0)</f>
        <v>6059</v>
      </c>
      <c r="S27" s="31">
        <f>ROUND(S26*'① Hypothèses'!B80,0)</f>
        <v>6059</v>
      </c>
      <c r="T27" s="31">
        <f>ROUND(T26*'① Hypothèses'!B80,0)</f>
        <v>6059</v>
      </c>
      <c r="U27" s="31">
        <f>ROUND(U26*'① Hypothèses'!B80,0)</f>
        <v>6059</v>
      </c>
      <c r="V27" s="31">
        <f>ROUND(V26*'① Hypothèses'!B80,0)</f>
        <v>6059</v>
      </c>
      <c r="W27" s="31">
        <f>ROUND(W26*'① Hypothèses'!B80,0)</f>
        <v>6059</v>
      </c>
      <c r="X27" s="31">
        <f>ROUND(X26*'① Hypothèses'!B80,0)</f>
        <v>6059</v>
      </c>
      <c r="Y27" s="31">
        <f>ROUND(Y26*'① Hypothèses'!B80,0)</f>
        <v>6059</v>
      </c>
      <c r="Z27" s="31">
        <f>ROUND(Z26*'① Hypothèses'!B80,0)</f>
        <v>6059</v>
      </c>
      <c r="AA27" s="31">
        <f>ROUND(AA26*'① Hypothèses'!B80,0)</f>
        <v>6059</v>
      </c>
      <c r="AB27" s="31">
        <f>ROUND(AB26*'① Hypothèses'!B80,0)</f>
        <v>6059</v>
      </c>
      <c r="AC27" s="32">
        <f>SUM(Q27,R27,S27,T27,U27,V27,W27,X27,Y27,Z27,AA27,AB27)</f>
        <v>72708</v>
      </c>
      <c r="AD27" s="2"/>
      <c r="AE27" s="31">
        <f>ROUND(AE26*'① Hypothèses'!B80,0)</f>
        <v>6180</v>
      </c>
      <c r="AF27" s="31">
        <f>ROUND(AF26*'① Hypothèses'!B80,0)</f>
        <v>6180</v>
      </c>
      <c r="AG27" s="31">
        <f>ROUND(AG26*'① Hypothèses'!B80,0)</f>
        <v>6180</v>
      </c>
      <c r="AH27" s="31">
        <f>ROUND(AH26*'① Hypothèses'!B80,0)</f>
        <v>6180</v>
      </c>
      <c r="AI27" s="31">
        <f>ROUND(AI26*'① Hypothèses'!B80,0)</f>
        <v>6180</v>
      </c>
      <c r="AJ27" s="31">
        <f>ROUND(AJ26*'① Hypothèses'!B80,0)</f>
        <v>6180</v>
      </c>
      <c r="AK27" s="31">
        <f>ROUND(AK26*'① Hypothèses'!B80,0)</f>
        <v>6180</v>
      </c>
      <c r="AL27" s="31">
        <f>ROUND(AL26*'① Hypothèses'!B80,0)</f>
        <v>6180</v>
      </c>
      <c r="AM27" s="31">
        <f>ROUND(AM26*'① Hypothèses'!B80,0)</f>
        <v>6180</v>
      </c>
      <c r="AN27" s="31">
        <f>ROUND(AN26*'① Hypothèses'!B80,0)</f>
        <v>6180</v>
      </c>
      <c r="AO27" s="31">
        <f>ROUND(AO26*'① Hypothèses'!B80,0)</f>
        <v>6180</v>
      </c>
      <c r="AP27" s="31">
        <f>ROUND(AP26*'① Hypothèses'!B80,0)</f>
        <v>6180</v>
      </c>
      <c r="AQ27" s="32">
        <f>SUM(AE27,AF27,AG27,AH27,AI27,AJ27,AK27,AL27,AM27,AN27,AO27,AP27)</f>
        <v>74160</v>
      </c>
    </row>
    <row r="28" spans="1:43" ht="15.75" customHeight="1" x14ac:dyDescent="0.2">
      <c r="A28" s="30" t="s">
        <v>140</v>
      </c>
      <c r="B28" s="2"/>
      <c r="C28" s="31"/>
      <c r="D28" s="31"/>
      <c r="E28" s="31"/>
      <c r="F28" s="31"/>
      <c r="G28" s="31">
        <f>ROUND('① Hypothèses'!B76,0)</f>
        <v>8000</v>
      </c>
      <c r="H28" s="31">
        <f>ROUND('① Hypothèses'!B76,0)</f>
        <v>8000</v>
      </c>
      <c r="I28" s="31">
        <f>ROUND('① Hypothèses'!B76,0)</f>
        <v>8000</v>
      </c>
      <c r="J28" s="31">
        <f>ROUND('① Hypothèses'!B76,0)</f>
        <v>8000</v>
      </c>
      <c r="K28" s="31">
        <f>ROUND('① Hypothèses'!B76,0)</f>
        <v>8000</v>
      </c>
      <c r="L28" s="31">
        <f>ROUND('① Hypothèses'!B76,0)</f>
        <v>8000</v>
      </c>
      <c r="M28" s="31">
        <f>ROUND('① Hypothèses'!B76,0)</f>
        <v>8000</v>
      </c>
      <c r="N28" s="31">
        <f>ROUND('① Hypothèses'!B76,0)</f>
        <v>8000</v>
      </c>
      <c r="O28" s="32">
        <f>SUM(C28,D28,E28,F28,G28,H28,I28,J28,K28,L28,M28,N28)</f>
        <v>64000</v>
      </c>
      <c r="P28" s="2"/>
      <c r="Q28" s="31">
        <f>ROUND('① Hypothèses'!B76*(1+'① Hypothèses'!B56),0)</f>
        <v>8160</v>
      </c>
      <c r="R28" s="31">
        <f>ROUND('① Hypothèses'!B76*(1+'① Hypothèses'!B56),0)</f>
        <v>8160</v>
      </c>
      <c r="S28" s="31">
        <f>ROUND('① Hypothèses'!B76*(1+'① Hypothèses'!B56),0)</f>
        <v>8160</v>
      </c>
      <c r="T28" s="31">
        <f>ROUND('① Hypothèses'!B76*(1+'① Hypothèses'!B56),0)</f>
        <v>8160</v>
      </c>
      <c r="U28" s="31">
        <f>ROUND('① Hypothèses'!B76*(1+'① Hypothèses'!B56),0)</f>
        <v>8160</v>
      </c>
      <c r="V28" s="31">
        <f>ROUND('① Hypothèses'!B76*(1+'① Hypothèses'!B56),0)</f>
        <v>8160</v>
      </c>
      <c r="W28" s="31">
        <f>ROUND('① Hypothèses'!B76*(1+'① Hypothèses'!B56),0)</f>
        <v>8160</v>
      </c>
      <c r="X28" s="31">
        <f>ROUND('① Hypothèses'!B76*(1+'① Hypothèses'!B56),0)</f>
        <v>8160</v>
      </c>
      <c r="Y28" s="31">
        <f>ROUND('① Hypothèses'!B76*(1+'① Hypothèses'!B56),0)</f>
        <v>8160</v>
      </c>
      <c r="Z28" s="31">
        <f>ROUND('① Hypothèses'!B76*(1+'① Hypothèses'!B56),0)</f>
        <v>8160</v>
      </c>
      <c r="AA28" s="31">
        <f>ROUND('① Hypothèses'!B76*(1+'① Hypothèses'!B56),0)</f>
        <v>8160</v>
      </c>
      <c r="AB28" s="31">
        <f>ROUND('① Hypothèses'!B76*(1+'① Hypothèses'!B56),0)</f>
        <v>8160</v>
      </c>
      <c r="AC28" s="32">
        <f>SUM(Q28,R28,S28,T28,U28,V28,W28,X28,Y28,Z28,AA28,AB28)</f>
        <v>97920</v>
      </c>
      <c r="AD28" s="2"/>
      <c r="AE28" s="31">
        <f>ROUND('① Hypothèses'!B76*(1+'① Hypothèses'!B56)^2,0)</f>
        <v>8323</v>
      </c>
      <c r="AF28" s="31">
        <f>ROUND('① Hypothèses'!B76*(1+'① Hypothèses'!B56)^2,0)</f>
        <v>8323</v>
      </c>
      <c r="AG28" s="31">
        <f>ROUND('① Hypothèses'!B76*(1+'① Hypothèses'!B56)^2,0)</f>
        <v>8323</v>
      </c>
      <c r="AH28" s="31">
        <f>ROUND('① Hypothèses'!B76*(1+'① Hypothèses'!B56)^2,0)</f>
        <v>8323</v>
      </c>
      <c r="AI28" s="31">
        <f>ROUND('① Hypothèses'!B76*(1+'① Hypothèses'!B56)^2,0)</f>
        <v>8323</v>
      </c>
      <c r="AJ28" s="31">
        <f>ROUND('① Hypothèses'!B76*(1+'① Hypothèses'!B56)^2,0)</f>
        <v>8323</v>
      </c>
      <c r="AK28" s="31">
        <f>ROUND('① Hypothèses'!B76*(1+'① Hypothèses'!B56)^2,0)</f>
        <v>8323</v>
      </c>
      <c r="AL28" s="31">
        <f>ROUND('① Hypothèses'!B76*(1+'① Hypothèses'!B56)^2,0)</f>
        <v>8323</v>
      </c>
      <c r="AM28" s="31">
        <f>ROUND('① Hypothèses'!B76*(1+'① Hypothèses'!B56)^2,0)</f>
        <v>8323</v>
      </c>
      <c r="AN28" s="31">
        <f>ROUND('① Hypothèses'!B76*(1+'① Hypothèses'!B56)^2,0)</f>
        <v>8323</v>
      </c>
      <c r="AO28" s="31">
        <f>ROUND('① Hypothèses'!B76*(1+'① Hypothèses'!B56)^2,0)</f>
        <v>8323</v>
      </c>
      <c r="AP28" s="31">
        <f>ROUND('① Hypothèses'!B76*(1+'① Hypothèses'!B56)^2,0)</f>
        <v>8323</v>
      </c>
      <c r="AQ28" s="32">
        <f>SUM(AE28,AF28,AG28,AH28,AI28,AJ28,AK28,AL28,AM28,AN28,AO28,AP28)</f>
        <v>99876</v>
      </c>
    </row>
    <row r="29" spans="1:43" ht="15.75" customHeight="1" x14ac:dyDescent="0.2">
      <c r="A29" s="30" t="s">
        <v>141</v>
      </c>
      <c r="B29" s="2"/>
      <c r="C29" s="31">
        <f>ROUND(C28*'① Hypothèses'!B77,0)</f>
        <v>0</v>
      </c>
      <c r="D29" s="31">
        <f>ROUND(D28*'① Hypothèses'!B77,0)</f>
        <v>0</v>
      </c>
      <c r="E29" s="31">
        <f>ROUND(E28*'① Hypothèses'!B77,0)</f>
        <v>0</v>
      </c>
      <c r="F29" s="31">
        <f>ROUND(F28*'① Hypothèses'!B77,0)</f>
        <v>0</v>
      </c>
      <c r="G29" s="31">
        <f>ROUND(G28*'① Hypothèses'!B77,0)</f>
        <v>2160</v>
      </c>
      <c r="H29" s="31">
        <f>ROUND(H28*'① Hypothèses'!B77,0)</f>
        <v>2160</v>
      </c>
      <c r="I29" s="31">
        <f>ROUND(I28*'① Hypothèses'!B77,0)</f>
        <v>2160</v>
      </c>
      <c r="J29" s="31">
        <f>ROUND(J28*'① Hypothèses'!B77,0)</f>
        <v>2160</v>
      </c>
      <c r="K29" s="31">
        <f>ROUND(K28*'① Hypothèses'!B77,0)</f>
        <v>2160</v>
      </c>
      <c r="L29" s="31">
        <f>ROUND(L28*'① Hypothèses'!B77,0)</f>
        <v>2160</v>
      </c>
      <c r="M29" s="31">
        <f>ROUND(M28*'① Hypothèses'!B77,0)</f>
        <v>2160</v>
      </c>
      <c r="N29" s="31">
        <f>ROUND(N28*'① Hypothèses'!B77,0)</f>
        <v>2160</v>
      </c>
      <c r="O29" s="32">
        <f>SUM(C29,D29,E29,F29,G29,H29,I29,J29,K29,L29,M29,N29)</f>
        <v>17280</v>
      </c>
      <c r="P29" s="2"/>
      <c r="Q29" s="31">
        <f>ROUND(Q28*'① Hypothèses'!B77,0)</f>
        <v>2203</v>
      </c>
      <c r="R29" s="31">
        <f>ROUND(R28*'① Hypothèses'!B77,0)</f>
        <v>2203</v>
      </c>
      <c r="S29" s="31">
        <f>ROUND(S28*'① Hypothèses'!B77,0)</f>
        <v>2203</v>
      </c>
      <c r="T29" s="31">
        <f>ROUND(T28*'① Hypothèses'!B77,0)</f>
        <v>2203</v>
      </c>
      <c r="U29" s="31">
        <f>ROUND(U28*'① Hypothèses'!B77,0)</f>
        <v>2203</v>
      </c>
      <c r="V29" s="31">
        <f>ROUND(V28*'① Hypothèses'!B77,0)</f>
        <v>2203</v>
      </c>
      <c r="W29" s="31">
        <f>ROUND(W28*'① Hypothèses'!B77,0)</f>
        <v>2203</v>
      </c>
      <c r="X29" s="31">
        <f>ROUND(X28*'① Hypothèses'!B77,0)</f>
        <v>2203</v>
      </c>
      <c r="Y29" s="31">
        <f>ROUND(Y28*'① Hypothèses'!B77,0)</f>
        <v>2203</v>
      </c>
      <c r="Z29" s="31">
        <f>ROUND(Z28*'① Hypothèses'!B77,0)</f>
        <v>2203</v>
      </c>
      <c r="AA29" s="31">
        <f>ROUND(AA28*'① Hypothèses'!B77,0)</f>
        <v>2203</v>
      </c>
      <c r="AB29" s="31">
        <f>ROUND(AB28*'① Hypothèses'!B77,0)</f>
        <v>2203</v>
      </c>
      <c r="AC29" s="32">
        <f>SUM(Q29,R29,S29,T29,U29,V29,W29,X29,Y29,Z29,AA29,AB29)</f>
        <v>26436</v>
      </c>
      <c r="AD29" s="2"/>
      <c r="AE29" s="31">
        <f>ROUND(AE28*'① Hypothèses'!B77,0)</f>
        <v>2247</v>
      </c>
      <c r="AF29" s="31">
        <f>ROUND(AF28*'① Hypothèses'!B77,0)</f>
        <v>2247</v>
      </c>
      <c r="AG29" s="31">
        <f>ROUND(AG28*'① Hypothèses'!B77,0)</f>
        <v>2247</v>
      </c>
      <c r="AH29" s="31">
        <f>ROUND(AH28*'① Hypothèses'!B77,0)</f>
        <v>2247</v>
      </c>
      <c r="AI29" s="31">
        <f>ROUND(AI28*'① Hypothèses'!B77,0)</f>
        <v>2247</v>
      </c>
      <c r="AJ29" s="31">
        <f>ROUND(AJ28*'① Hypothèses'!B77,0)</f>
        <v>2247</v>
      </c>
      <c r="AK29" s="31">
        <f>ROUND(AK28*'① Hypothèses'!B77,0)</f>
        <v>2247</v>
      </c>
      <c r="AL29" s="31">
        <f>ROUND(AL28*'① Hypothèses'!B77,0)</f>
        <v>2247</v>
      </c>
      <c r="AM29" s="31">
        <f>ROUND(AM28*'① Hypothèses'!B77,0)</f>
        <v>2247</v>
      </c>
      <c r="AN29" s="31">
        <f>ROUND(AN28*'① Hypothèses'!B77,0)</f>
        <v>2247</v>
      </c>
      <c r="AO29" s="31">
        <f>ROUND(AO28*'① Hypothèses'!B77,0)</f>
        <v>2247</v>
      </c>
      <c r="AP29" s="31">
        <f>ROUND(AP28*'① Hypothèses'!B77,0)</f>
        <v>2247</v>
      </c>
      <c r="AQ29" s="32">
        <f>SUM(AE29,AF29,AG29,AH29,AI29,AJ29,AK29,AL29,AM29,AN29,AO29,AP29)</f>
        <v>26964</v>
      </c>
    </row>
    <row r="30" spans="1:43" ht="15.75" customHeight="1" x14ac:dyDescent="0.2">
      <c r="A30" s="44" t="s">
        <v>142</v>
      </c>
      <c r="B30" s="2"/>
      <c r="C30" s="45">
        <f t="shared" ref="C30:N30" si="9">C26+C27+C28+C29</f>
        <v>13970</v>
      </c>
      <c r="D30" s="45">
        <f t="shared" si="9"/>
        <v>13970</v>
      </c>
      <c r="E30" s="45">
        <f t="shared" si="9"/>
        <v>20955</v>
      </c>
      <c r="F30" s="45">
        <f t="shared" si="9"/>
        <v>20955</v>
      </c>
      <c r="G30" s="45">
        <f t="shared" si="9"/>
        <v>38100</v>
      </c>
      <c r="H30" s="45">
        <f t="shared" si="9"/>
        <v>38100</v>
      </c>
      <c r="I30" s="45">
        <f t="shared" si="9"/>
        <v>38100</v>
      </c>
      <c r="J30" s="45">
        <f t="shared" si="9"/>
        <v>38100</v>
      </c>
      <c r="K30" s="45">
        <f t="shared" si="9"/>
        <v>38100</v>
      </c>
      <c r="L30" s="45">
        <f t="shared" si="9"/>
        <v>38100</v>
      </c>
      <c r="M30" s="45">
        <f t="shared" si="9"/>
        <v>38100</v>
      </c>
      <c r="N30" s="45">
        <f t="shared" si="9"/>
        <v>38100</v>
      </c>
      <c r="O30" s="26">
        <f>SUM(C30,D30,E30,F30,G30,H30,I30,J30,K30,L30,M30,N30)</f>
        <v>374650</v>
      </c>
      <c r="P30" s="2"/>
      <c r="Q30" s="45">
        <f t="shared" ref="Q30:AB30" si="10">Q26+Q27+Q28+Q29</f>
        <v>38862</v>
      </c>
      <c r="R30" s="45">
        <f t="shared" si="10"/>
        <v>38862</v>
      </c>
      <c r="S30" s="45">
        <f t="shared" si="10"/>
        <v>38862</v>
      </c>
      <c r="T30" s="45">
        <f t="shared" si="10"/>
        <v>38862</v>
      </c>
      <c r="U30" s="45">
        <f t="shared" si="10"/>
        <v>38862</v>
      </c>
      <c r="V30" s="45">
        <f t="shared" si="10"/>
        <v>38862</v>
      </c>
      <c r="W30" s="45">
        <f t="shared" si="10"/>
        <v>38862</v>
      </c>
      <c r="X30" s="45">
        <f t="shared" si="10"/>
        <v>38862</v>
      </c>
      <c r="Y30" s="45">
        <f t="shared" si="10"/>
        <v>38862</v>
      </c>
      <c r="Z30" s="45">
        <f t="shared" si="10"/>
        <v>38862</v>
      </c>
      <c r="AA30" s="45">
        <f t="shared" si="10"/>
        <v>38862</v>
      </c>
      <c r="AB30" s="45">
        <f t="shared" si="10"/>
        <v>38862</v>
      </c>
      <c r="AC30" s="26">
        <f>SUM(Q30,R30,S30,T30,U30,V30,W30,X30,Y30,Z30,AA30,AB30)</f>
        <v>466344</v>
      </c>
      <c r="AD30" s="2"/>
      <c r="AE30" s="45">
        <f t="shared" ref="AE30:AP30" si="11">AE26+AE27+AE28+AE29</f>
        <v>39639</v>
      </c>
      <c r="AF30" s="45">
        <f t="shared" si="11"/>
        <v>39639</v>
      </c>
      <c r="AG30" s="45">
        <f t="shared" si="11"/>
        <v>39639</v>
      </c>
      <c r="AH30" s="45">
        <f t="shared" si="11"/>
        <v>39639</v>
      </c>
      <c r="AI30" s="45">
        <f t="shared" si="11"/>
        <v>39639</v>
      </c>
      <c r="AJ30" s="45">
        <f t="shared" si="11"/>
        <v>39639</v>
      </c>
      <c r="AK30" s="45">
        <f t="shared" si="11"/>
        <v>39639</v>
      </c>
      <c r="AL30" s="45">
        <f t="shared" si="11"/>
        <v>39639</v>
      </c>
      <c r="AM30" s="45">
        <f t="shared" si="11"/>
        <v>39639</v>
      </c>
      <c r="AN30" s="45">
        <f t="shared" si="11"/>
        <v>39639</v>
      </c>
      <c r="AO30" s="45">
        <f t="shared" si="11"/>
        <v>39639</v>
      </c>
      <c r="AP30" s="45">
        <f t="shared" si="11"/>
        <v>39639</v>
      </c>
      <c r="AQ30" s="26">
        <f>SUM(AE30,AF30,AG30,AH30,AI30,AJ30,AK30,AL30,AM30,AN30,AO30,AP30)</f>
        <v>475668</v>
      </c>
    </row>
    <row r="31" spans="1:43" ht="18" customHeight="1" x14ac:dyDescent="0.2">
      <c r="A31" s="105" t="s">
        <v>225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</row>
    <row r="32" spans="1:43" ht="15.75" customHeight="1" x14ac:dyDescent="0.2">
      <c r="A32" s="46" t="s">
        <v>143</v>
      </c>
      <c r="B32" s="2"/>
      <c r="C32" s="47">
        <f>ROUND('① Hypothèses'!B97/12,0)</f>
        <v>4891</v>
      </c>
      <c r="D32" s="47">
        <f>ROUND('① Hypothèses'!B97/12,0)</f>
        <v>4891</v>
      </c>
      <c r="E32" s="47">
        <f>ROUND('① Hypothèses'!B97/12,0)</f>
        <v>4891</v>
      </c>
      <c r="F32" s="47">
        <f>ROUND('① Hypothèses'!B97/12,0)</f>
        <v>4891</v>
      </c>
      <c r="G32" s="47">
        <f>ROUND('① Hypothèses'!B97/12,0)</f>
        <v>4891</v>
      </c>
      <c r="H32" s="47">
        <f>ROUND('① Hypothèses'!B97/12,0)</f>
        <v>4891</v>
      </c>
      <c r="I32" s="47">
        <f>ROUND('① Hypothèses'!B97/12,0)</f>
        <v>4891</v>
      </c>
      <c r="J32" s="47">
        <f>ROUND('① Hypothèses'!B97/12,0)</f>
        <v>4891</v>
      </c>
      <c r="K32" s="47">
        <f>ROUND('① Hypothèses'!B97/12,0)</f>
        <v>4891</v>
      </c>
      <c r="L32" s="47">
        <f>ROUND('① Hypothèses'!B97/12,0)</f>
        <v>4891</v>
      </c>
      <c r="M32" s="47">
        <f>ROUND('① Hypothèses'!B97/12,0)</f>
        <v>4891</v>
      </c>
      <c r="N32" s="47">
        <f>ROUND('① Hypothèses'!B97/12,0)</f>
        <v>4891</v>
      </c>
      <c r="O32" s="48">
        <f>SUM(C32,D32,E32,F32,G32,H32,I32,J32,K32,L32,M32,N32)</f>
        <v>58692</v>
      </c>
      <c r="P32" s="2"/>
      <c r="Q32" s="47">
        <f>ROUND('① Hypothèses'!B97/12,0)</f>
        <v>4891</v>
      </c>
      <c r="R32" s="47">
        <f>ROUND('① Hypothèses'!B97/12,0)</f>
        <v>4891</v>
      </c>
      <c r="S32" s="47">
        <f>ROUND('① Hypothèses'!B97/12,0)</f>
        <v>4891</v>
      </c>
      <c r="T32" s="47">
        <f>ROUND('① Hypothèses'!B97/12,0)</f>
        <v>4891</v>
      </c>
      <c r="U32" s="47">
        <f>ROUND('① Hypothèses'!B97/12,0)</f>
        <v>4891</v>
      </c>
      <c r="V32" s="47">
        <f>ROUND('① Hypothèses'!B97/12,0)</f>
        <v>4891</v>
      </c>
      <c r="W32" s="47">
        <f>ROUND('① Hypothèses'!B97/12,0)</f>
        <v>4891</v>
      </c>
      <c r="X32" s="47">
        <f>ROUND('① Hypothèses'!B97/12,0)</f>
        <v>4891</v>
      </c>
      <c r="Y32" s="47">
        <f>ROUND('① Hypothèses'!B97/12,0)</f>
        <v>4891</v>
      </c>
      <c r="Z32" s="47">
        <f>ROUND('① Hypothèses'!B97/12,0)</f>
        <v>4891</v>
      </c>
      <c r="AA32" s="47">
        <f>ROUND('① Hypothèses'!B97/12,0)</f>
        <v>4891</v>
      </c>
      <c r="AB32" s="47">
        <f>ROUND('① Hypothèses'!B97/12,0)</f>
        <v>4891</v>
      </c>
      <c r="AC32" s="48">
        <f>SUM(Q32,R32,S32,T32,U32,V32,W32,X32,Y32,Z32,AA32,AB32)</f>
        <v>58692</v>
      </c>
      <c r="AD32" s="2"/>
      <c r="AE32" s="47">
        <f>ROUND('① Hypothèses'!B97/12,0)</f>
        <v>4891</v>
      </c>
      <c r="AF32" s="47">
        <f>ROUND('① Hypothèses'!B97/12,0)</f>
        <v>4891</v>
      </c>
      <c r="AG32" s="47">
        <f>ROUND('① Hypothèses'!B97/12,0)</f>
        <v>4891</v>
      </c>
      <c r="AH32" s="47">
        <f>ROUND('① Hypothèses'!B97/12,0)</f>
        <v>4891</v>
      </c>
      <c r="AI32" s="47">
        <f>ROUND('① Hypothèses'!B97/12,0)</f>
        <v>4891</v>
      </c>
      <c r="AJ32" s="47">
        <f>ROUND('① Hypothèses'!B97/12,0)</f>
        <v>4891</v>
      </c>
      <c r="AK32" s="47">
        <f>ROUND('① Hypothèses'!B97/12,0)</f>
        <v>4891</v>
      </c>
      <c r="AL32" s="47">
        <f>ROUND('① Hypothèses'!B97/12,0)</f>
        <v>4891</v>
      </c>
      <c r="AM32" s="47">
        <f>ROUND('① Hypothèses'!B97/12,0)</f>
        <v>4891</v>
      </c>
      <c r="AN32" s="47">
        <f>ROUND('① Hypothèses'!B97/12,0)</f>
        <v>4891</v>
      </c>
      <c r="AO32" s="47">
        <f>ROUND('① Hypothèses'!B97/12,0)</f>
        <v>4891</v>
      </c>
      <c r="AP32" s="47">
        <f>ROUND('① Hypothèses'!B97/12,0)</f>
        <v>4891</v>
      </c>
      <c r="AQ32" s="48">
        <f>SUM(AE32,AF32,AG32,AH32,AI32,AJ32,AK32,AL32,AM32,AN32,AO32,AP32)</f>
        <v>58692</v>
      </c>
    </row>
    <row r="33" spans="1:43" ht="18" customHeight="1" x14ac:dyDescent="0.2">
      <c r="A33" s="106" t="s">
        <v>218</v>
      </c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</row>
    <row r="34" spans="1:43" ht="19.5" customHeight="1" x14ac:dyDescent="0.2">
      <c r="A34" s="27" t="s">
        <v>144</v>
      </c>
      <c r="B34" s="2"/>
      <c r="C34" s="28">
        <f>C11-C13-C14-C15</f>
        <v>72679</v>
      </c>
      <c r="D34" s="28">
        <f t="shared" ref="D34:N34" si="12">D11-D13-D14</f>
        <v>90720</v>
      </c>
      <c r="E34" s="28">
        <f t="shared" si="12"/>
        <v>147312</v>
      </c>
      <c r="F34" s="28">
        <f t="shared" si="12"/>
        <v>168480</v>
      </c>
      <c r="G34" s="28">
        <f t="shared" si="12"/>
        <v>187488</v>
      </c>
      <c r="H34" s="28">
        <f t="shared" si="12"/>
        <v>275400</v>
      </c>
      <c r="I34" s="28">
        <f t="shared" si="12"/>
        <v>334800</v>
      </c>
      <c r="J34" s="28">
        <f t="shared" si="12"/>
        <v>334800</v>
      </c>
      <c r="K34" s="28">
        <f t="shared" si="12"/>
        <v>324000</v>
      </c>
      <c r="L34" s="28">
        <f t="shared" si="12"/>
        <v>267840</v>
      </c>
      <c r="M34" s="28">
        <f t="shared" si="12"/>
        <v>155520</v>
      </c>
      <c r="N34" s="28">
        <f t="shared" si="12"/>
        <v>174096</v>
      </c>
      <c r="O34" s="49">
        <f>SUM(C34,D34,E34,F34,G34,H34,I34,J34,K34,L34,M34,N34)</f>
        <v>2533135</v>
      </c>
      <c r="P34" s="2"/>
      <c r="Q34" s="28">
        <f>Q11-Q13-Q14</f>
        <v>176287</v>
      </c>
      <c r="R34" s="28">
        <f t="shared" ref="R34:AB34" si="13">R11-R13-R14</f>
        <v>159229</v>
      </c>
      <c r="S34" s="28">
        <f t="shared" si="13"/>
        <v>193570</v>
      </c>
      <c r="T34" s="28">
        <f t="shared" si="13"/>
        <v>220778</v>
      </c>
      <c r="U34" s="28">
        <f t="shared" si="13"/>
        <v>245421</v>
      </c>
      <c r="V34" s="28">
        <f t="shared" si="13"/>
        <v>359601</v>
      </c>
      <c r="W34" s="28">
        <f t="shared" si="13"/>
        <v>432078</v>
      </c>
      <c r="X34" s="28">
        <f t="shared" si="13"/>
        <v>432078</v>
      </c>
      <c r="Y34" s="28">
        <f t="shared" si="13"/>
        <v>418140</v>
      </c>
      <c r="Z34" s="28">
        <f t="shared" si="13"/>
        <v>349983</v>
      </c>
      <c r="AA34" s="28">
        <f t="shared" si="13"/>
        <v>204053</v>
      </c>
      <c r="AB34" s="28">
        <f t="shared" si="13"/>
        <v>228137</v>
      </c>
      <c r="AC34" s="49">
        <f>SUM(Q34,R34,S34,T34,U34,V34,W34,X34,Y34,Z34,AA34,AB34)</f>
        <v>3419355</v>
      </c>
      <c r="AD34" s="2"/>
      <c r="AE34" s="28">
        <f t="shared" ref="AE34:AP34" si="14">AE11-AE13-AE14</f>
        <v>183341</v>
      </c>
      <c r="AF34" s="28">
        <f t="shared" si="14"/>
        <v>165597</v>
      </c>
      <c r="AG34" s="28">
        <f t="shared" si="14"/>
        <v>200969</v>
      </c>
      <c r="AH34" s="28">
        <f t="shared" si="14"/>
        <v>228605</v>
      </c>
      <c r="AI34" s="28">
        <f t="shared" si="14"/>
        <v>253853</v>
      </c>
      <c r="AJ34" s="28">
        <f t="shared" si="14"/>
        <v>371059</v>
      </c>
      <c r="AK34" s="28">
        <f t="shared" si="14"/>
        <v>440719</v>
      </c>
      <c r="AL34" s="28">
        <f t="shared" si="14"/>
        <v>440719</v>
      </c>
      <c r="AM34" s="28">
        <f t="shared" si="14"/>
        <v>426502</v>
      </c>
      <c r="AN34" s="28">
        <f t="shared" si="14"/>
        <v>361390</v>
      </c>
      <c r="AO34" s="28">
        <f t="shared" si="14"/>
        <v>211546</v>
      </c>
      <c r="AP34" s="28">
        <f t="shared" si="14"/>
        <v>236226</v>
      </c>
      <c r="AQ34" s="49">
        <f>SUM(AE34,AF34,AG34,AH34,AI34,AJ34,AK34,AL34,AM34,AN34,AO34,AP34)</f>
        <v>3520526</v>
      </c>
    </row>
    <row r="35" spans="1:43" ht="19.5" customHeight="1" x14ac:dyDescent="0.2">
      <c r="A35" s="27" t="s">
        <v>145</v>
      </c>
      <c r="B35" s="2"/>
      <c r="C35" s="28">
        <f>C11-C24-C30</f>
        <v>2459</v>
      </c>
      <c r="D35" s="28">
        <f>D11-D24-D30</f>
        <v>-7261</v>
      </c>
      <c r="E35" s="28">
        <f t="shared" ref="E35:N35" si="15">E11-E24-E30</f>
        <v>42346</v>
      </c>
      <c r="F35" s="28">
        <f t="shared" si="15"/>
        <v>63514</v>
      </c>
      <c r="G35" s="28">
        <f t="shared" si="15"/>
        <v>65377</v>
      </c>
      <c r="H35" s="28">
        <f t="shared" si="15"/>
        <v>153289</v>
      </c>
      <c r="I35" s="28">
        <f t="shared" si="15"/>
        <v>212689</v>
      </c>
      <c r="J35" s="28">
        <f t="shared" si="15"/>
        <v>212689</v>
      </c>
      <c r="K35" s="28">
        <f t="shared" si="15"/>
        <v>201889</v>
      </c>
      <c r="L35" s="28">
        <f t="shared" si="15"/>
        <v>145729</v>
      </c>
      <c r="M35" s="28">
        <f t="shared" si="15"/>
        <v>33409</v>
      </c>
      <c r="N35" s="28">
        <f t="shared" si="15"/>
        <v>51985</v>
      </c>
      <c r="O35" s="49">
        <f>SUM(C35,D35,E35,F35,G35,H35,I35,J35,K35,L35,M35,N35)</f>
        <v>1178114</v>
      </c>
      <c r="P35" s="2"/>
      <c r="Q35" s="28">
        <f>Q11-Q24-Q30</f>
        <v>52597</v>
      </c>
      <c r="R35" s="28">
        <f t="shared" ref="R35:AB35" si="16">R11-R24-R30</f>
        <v>35539</v>
      </c>
      <c r="S35" s="28">
        <f t="shared" si="16"/>
        <v>69880</v>
      </c>
      <c r="T35" s="28">
        <f t="shared" si="16"/>
        <v>97088</v>
      </c>
      <c r="U35" s="28">
        <f t="shared" si="16"/>
        <v>121731</v>
      </c>
      <c r="V35" s="28">
        <f t="shared" si="16"/>
        <v>235911</v>
      </c>
      <c r="W35" s="28">
        <f t="shared" si="16"/>
        <v>308388</v>
      </c>
      <c r="X35" s="28">
        <f t="shared" si="16"/>
        <v>308388</v>
      </c>
      <c r="Y35" s="28">
        <f t="shared" si="16"/>
        <v>294450</v>
      </c>
      <c r="Z35" s="28">
        <f t="shared" si="16"/>
        <v>226293</v>
      </c>
      <c r="AA35" s="28">
        <f t="shared" si="16"/>
        <v>80363</v>
      </c>
      <c r="AB35" s="28">
        <f t="shared" si="16"/>
        <v>104447</v>
      </c>
      <c r="AC35" s="49">
        <f>SUM(Q35,R35,S35,T35,U35,V35,W35,X35,Y35,Z35,AA35,AB35)</f>
        <v>1935075</v>
      </c>
      <c r="AD35" s="2"/>
      <c r="AE35" s="28">
        <f t="shared" ref="AE35:AP35" si="17">AE11-AE24-AE30</f>
        <v>58040</v>
      </c>
      <c r="AF35" s="28">
        <f t="shared" si="17"/>
        <v>40296</v>
      </c>
      <c r="AG35" s="28">
        <f t="shared" si="17"/>
        <v>75668</v>
      </c>
      <c r="AH35" s="28">
        <f t="shared" si="17"/>
        <v>103304</v>
      </c>
      <c r="AI35" s="28">
        <f t="shared" si="17"/>
        <v>128552</v>
      </c>
      <c r="AJ35" s="28">
        <f t="shared" si="17"/>
        <v>245758</v>
      </c>
      <c r="AK35" s="28">
        <f t="shared" si="17"/>
        <v>315418</v>
      </c>
      <c r="AL35" s="28">
        <f t="shared" si="17"/>
        <v>315418</v>
      </c>
      <c r="AM35" s="28">
        <f t="shared" si="17"/>
        <v>301201</v>
      </c>
      <c r="AN35" s="28">
        <f t="shared" si="17"/>
        <v>236089</v>
      </c>
      <c r="AO35" s="28">
        <f t="shared" si="17"/>
        <v>86245</v>
      </c>
      <c r="AP35" s="28">
        <f t="shared" si="17"/>
        <v>110925</v>
      </c>
      <c r="AQ35" s="49">
        <f>SUM(AE35,AF35,AG35,AH35,AI35,AJ35,AK35,AL35,AM35,AN35,AO35,AP35)</f>
        <v>2016914</v>
      </c>
    </row>
    <row r="36" spans="1:43" ht="19.5" customHeight="1" x14ac:dyDescent="0.2">
      <c r="A36" s="27" t="s">
        <v>146</v>
      </c>
      <c r="B36" s="2"/>
      <c r="C36" s="28">
        <f>C35-C32</f>
        <v>-2432</v>
      </c>
      <c r="D36" s="28">
        <f t="shared" ref="D36:N36" si="18">D35-D32</f>
        <v>-12152</v>
      </c>
      <c r="E36" s="28">
        <f t="shared" si="18"/>
        <v>37455</v>
      </c>
      <c r="F36" s="28">
        <f t="shared" si="18"/>
        <v>58623</v>
      </c>
      <c r="G36" s="28">
        <f t="shared" si="18"/>
        <v>60486</v>
      </c>
      <c r="H36" s="28">
        <f t="shared" si="18"/>
        <v>148398</v>
      </c>
      <c r="I36" s="28">
        <f t="shared" si="18"/>
        <v>207798</v>
      </c>
      <c r="J36" s="28">
        <f t="shared" si="18"/>
        <v>207798</v>
      </c>
      <c r="K36" s="28">
        <f t="shared" si="18"/>
        <v>196998</v>
      </c>
      <c r="L36" s="28">
        <f t="shared" si="18"/>
        <v>140838</v>
      </c>
      <c r="M36" s="28">
        <f t="shared" si="18"/>
        <v>28518</v>
      </c>
      <c r="N36" s="28">
        <f t="shared" si="18"/>
        <v>47094</v>
      </c>
      <c r="O36" s="49">
        <f>SUM(C36,D36,E36,F36,G36,H36,I36,J36,K36,L36,M36,N36)</f>
        <v>1119422</v>
      </c>
      <c r="P36" s="2"/>
      <c r="Q36" s="28">
        <f>Q35-Q32</f>
        <v>47706</v>
      </c>
      <c r="R36" s="28">
        <f t="shared" ref="R36:AB36" si="19">R35-R32</f>
        <v>30648</v>
      </c>
      <c r="S36" s="28">
        <f t="shared" si="19"/>
        <v>64989</v>
      </c>
      <c r="T36" s="28">
        <f t="shared" si="19"/>
        <v>92197</v>
      </c>
      <c r="U36" s="28">
        <f t="shared" si="19"/>
        <v>116840</v>
      </c>
      <c r="V36" s="28">
        <f t="shared" si="19"/>
        <v>231020</v>
      </c>
      <c r="W36" s="28">
        <f t="shared" si="19"/>
        <v>303497</v>
      </c>
      <c r="X36" s="28">
        <f t="shared" si="19"/>
        <v>303497</v>
      </c>
      <c r="Y36" s="28">
        <f t="shared" si="19"/>
        <v>289559</v>
      </c>
      <c r="Z36" s="28">
        <f t="shared" si="19"/>
        <v>221402</v>
      </c>
      <c r="AA36" s="28">
        <f t="shared" si="19"/>
        <v>75472</v>
      </c>
      <c r="AB36" s="28">
        <f t="shared" si="19"/>
        <v>99556</v>
      </c>
      <c r="AC36" s="49">
        <f>SUM(Q36,R36,S36,T36,U36,V36,W36,X36,Y36,Z36,AA36,AB36)</f>
        <v>1876383</v>
      </c>
      <c r="AD36" s="2"/>
      <c r="AE36" s="28">
        <f t="shared" ref="AE36:AP36" si="20">AE35-AE32</f>
        <v>53149</v>
      </c>
      <c r="AF36" s="28">
        <f t="shared" si="20"/>
        <v>35405</v>
      </c>
      <c r="AG36" s="28">
        <f t="shared" si="20"/>
        <v>70777</v>
      </c>
      <c r="AH36" s="28">
        <f t="shared" si="20"/>
        <v>98413</v>
      </c>
      <c r="AI36" s="28">
        <f t="shared" si="20"/>
        <v>123661</v>
      </c>
      <c r="AJ36" s="28">
        <f t="shared" si="20"/>
        <v>240867</v>
      </c>
      <c r="AK36" s="28">
        <f t="shared" si="20"/>
        <v>310527</v>
      </c>
      <c r="AL36" s="28">
        <f t="shared" si="20"/>
        <v>310527</v>
      </c>
      <c r="AM36" s="28">
        <f t="shared" si="20"/>
        <v>296310</v>
      </c>
      <c r="AN36" s="28">
        <f t="shared" si="20"/>
        <v>231198</v>
      </c>
      <c r="AO36" s="28">
        <f t="shared" si="20"/>
        <v>81354</v>
      </c>
      <c r="AP36" s="28">
        <f t="shared" si="20"/>
        <v>106034</v>
      </c>
      <c r="AQ36" s="49">
        <f>SUM(AE36,AF36,AG36,AH36,AI36,AJ36,AK36,AL36,AM36,AN36,AO36,AP36)</f>
        <v>1958222</v>
      </c>
    </row>
    <row r="37" spans="1:43" ht="19.5" customHeight="1" x14ac:dyDescent="0.2">
      <c r="A37" s="24" t="s">
        <v>227</v>
      </c>
      <c r="B37" s="2"/>
      <c r="C37" s="25">
        <f>C11-C24-C30-C32</f>
        <v>-2432</v>
      </c>
      <c r="D37" s="25">
        <f t="shared" ref="D37:N37" si="21">D11-D24-D30-D32</f>
        <v>-12152</v>
      </c>
      <c r="E37" s="25">
        <f t="shared" si="21"/>
        <v>37455</v>
      </c>
      <c r="F37" s="25">
        <f t="shared" si="21"/>
        <v>58623</v>
      </c>
      <c r="G37" s="25">
        <f t="shared" si="21"/>
        <v>60486</v>
      </c>
      <c r="H37" s="25">
        <f t="shared" si="21"/>
        <v>148398</v>
      </c>
      <c r="I37" s="25">
        <f t="shared" si="21"/>
        <v>207798</v>
      </c>
      <c r="J37" s="25">
        <f t="shared" si="21"/>
        <v>207798</v>
      </c>
      <c r="K37" s="25">
        <f t="shared" si="21"/>
        <v>196998</v>
      </c>
      <c r="L37" s="25">
        <f t="shared" si="21"/>
        <v>140838</v>
      </c>
      <c r="M37" s="25">
        <f t="shared" si="21"/>
        <v>28518</v>
      </c>
      <c r="N37" s="25">
        <f t="shared" si="21"/>
        <v>47094</v>
      </c>
      <c r="O37" s="50">
        <f>SUM(C37,D37,E37,F37,G37,H37,I37,J37,K37,L37,M37,N37)</f>
        <v>1119422</v>
      </c>
      <c r="P37" s="2"/>
      <c r="Q37" s="25">
        <f>Q11-Q24-Q30-Q32</f>
        <v>47706</v>
      </c>
      <c r="R37" s="25">
        <f t="shared" ref="R37:AB37" si="22">R11-R24-R30-R32</f>
        <v>30648</v>
      </c>
      <c r="S37" s="25">
        <f t="shared" si="22"/>
        <v>64989</v>
      </c>
      <c r="T37" s="25">
        <f t="shared" si="22"/>
        <v>92197</v>
      </c>
      <c r="U37" s="25">
        <f t="shared" si="22"/>
        <v>116840</v>
      </c>
      <c r="V37" s="25">
        <f t="shared" si="22"/>
        <v>231020</v>
      </c>
      <c r="W37" s="25">
        <f t="shared" si="22"/>
        <v>303497</v>
      </c>
      <c r="X37" s="25">
        <f t="shared" si="22"/>
        <v>303497</v>
      </c>
      <c r="Y37" s="25">
        <f t="shared" si="22"/>
        <v>289559</v>
      </c>
      <c r="Z37" s="25">
        <f t="shared" si="22"/>
        <v>221402</v>
      </c>
      <c r="AA37" s="25">
        <f t="shared" si="22"/>
        <v>75472</v>
      </c>
      <c r="AB37" s="25">
        <f t="shared" si="22"/>
        <v>99556</v>
      </c>
      <c r="AC37" s="50">
        <f>SUM(Q37,R37,S37,T37,U37,V37,W37,X37,Y37,Z37,AA37,AB37)</f>
        <v>1876383</v>
      </c>
      <c r="AD37" s="2"/>
      <c r="AE37" s="25">
        <f t="shared" ref="AE37:AP37" si="23">AE36</f>
        <v>53149</v>
      </c>
      <c r="AF37" s="25">
        <f t="shared" si="23"/>
        <v>35405</v>
      </c>
      <c r="AG37" s="25">
        <f t="shared" si="23"/>
        <v>70777</v>
      </c>
      <c r="AH37" s="25">
        <f t="shared" si="23"/>
        <v>98413</v>
      </c>
      <c r="AI37" s="25">
        <f t="shared" si="23"/>
        <v>123661</v>
      </c>
      <c r="AJ37" s="25">
        <f t="shared" si="23"/>
        <v>240867</v>
      </c>
      <c r="AK37" s="25">
        <f t="shared" si="23"/>
        <v>310527</v>
      </c>
      <c r="AL37" s="25">
        <f t="shared" si="23"/>
        <v>310527</v>
      </c>
      <c r="AM37" s="25">
        <f t="shared" si="23"/>
        <v>296310</v>
      </c>
      <c r="AN37" s="25">
        <f t="shared" si="23"/>
        <v>231198</v>
      </c>
      <c r="AO37" s="25">
        <f t="shared" si="23"/>
        <v>81354</v>
      </c>
      <c r="AP37" s="25">
        <f t="shared" si="23"/>
        <v>106034</v>
      </c>
      <c r="AQ37" s="50">
        <f>SUM(AE37,AF37,AG37,AH37,AI37,AJ37,AK37,AL37,AM37,AN37,AO37,AP37)</f>
        <v>1958222</v>
      </c>
    </row>
    <row r="38" spans="1:43" ht="18" customHeight="1" x14ac:dyDescent="0.2">
      <c r="A38" s="107" t="s">
        <v>226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</row>
    <row r="39" spans="1:43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ht="15" customHeight="1" x14ac:dyDescent="0.2">
      <c r="A40" s="2"/>
      <c r="B40" s="2"/>
      <c r="C40" s="2"/>
      <c r="D40" s="83"/>
      <c r="E40" s="2"/>
      <c r="F40" s="2"/>
      <c r="G40" s="2"/>
      <c r="H40" s="2"/>
      <c r="I40" s="2"/>
      <c r="J40" s="2"/>
      <c r="K40" s="2"/>
      <c r="L40" s="2"/>
      <c r="M40" s="2"/>
      <c r="N40" s="2"/>
      <c r="O40" s="8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8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83"/>
    </row>
    <row r="41" spans="1:43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83"/>
      <c r="AO41" s="2"/>
      <c r="AP41" s="2"/>
      <c r="AQ41" s="83"/>
    </row>
    <row r="42" spans="1:43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8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8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83"/>
    </row>
    <row r="43" spans="1:43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8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8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1:43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:43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3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:43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</sheetData>
  <mergeCells count="11">
    <mergeCell ref="A1:AQ1"/>
    <mergeCell ref="A2:AQ2"/>
    <mergeCell ref="A5:AQ5"/>
    <mergeCell ref="A12:AQ12"/>
    <mergeCell ref="A25:AQ25"/>
    <mergeCell ref="A31:AQ31"/>
    <mergeCell ref="A33:AQ33"/>
    <mergeCell ref="A38:AQ38"/>
    <mergeCell ref="C3:O3"/>
    <mergeCell ref="Q3:AC3"/>
    <mergeCell ref="AE3:AQ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3A5C"/>
  </sheetPr>
  <dimension ref="A1:AU79"/>
  <sheetViews>
    <sheetView topLeftCell="I3" zoomScaleNormal="100" workbookViewId="0">
      <selection activeCell="W36" sqref="W36"/>
    </sheetView>
  </sheetViews>
  <sheetFormatPr baseColWidth="10" defaultColWidth="8.6640625" defaultRowHeight="15" x14ac:dyDescent="0.2"/>
  <cols>
    <col min="1" max="1" width="40" style="1" customWidth="1"/>
    <col min="2" max="2" width="5.6640625" style="1" customWidth="1"/>
    <col min="3" max="13" width="9.5" style="1" customWidth="1"/>
    <col min="14" max="14" width="11" style="1" customWidth="1"/>
    <col min="15" max="15" width="16.6640625" style="1" customWidth="1"/>
    <col min="16" max="16" width="4.6640625" style="1" customWidth="1"/>
    <col min="17" max="28" width="9.5" style="1" customWidth="1"/>
    <col min="29" max="29" width="12.33203125" style="1" customWidth="1"/>
    <col min="30" max="30" width="6.33203125" style="1" customWidth="1"/>
    <col min="31" max="38" width="9.5" style="1" customWidth="1"/>
    <col min="39" max="41" width="10.6640625" style="1" customWidth="1"/>
    <col min="42" max="42" width="9.33203125" style="1" customWidth="1"/>
    <col min="43" max="43" width="16.6640625" style="1" customWidth="1"/>
    <col min="44" max="44" width="5.1640625" style="1" customWidth="1"/>
    <col min="45" max="45" width="9.5" style="73" customWidth="1"/>
    <col min="46" max="47" width="9.5" style="1" customWidth="1"/>
  </cols>
  <sheetData>
    <row r="1" spans="1:44" ht="25.5" customHeight="1" x14ac:dyDescent="0.2">
      <c r="A1" s="95" t="s">
        <v>231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2"/>
    </row>
    <row r="2" spans="1:44" ht="18" customHeight="1" x14ac:dyDescent="0.2">
      <c r="A2" s="110" t="s">
        <v>147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2"/>
    </row>
    <row r="3" spans="1:44" ht="21.75" customHeight="1" x14ac:dyDescent="0.2">
      <c r="A3" s="2"/>
      <c r="B3" s="2"/>
      <c r="C3" s="99" t="s">
        <v>235</v>
      </c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2"/>
      <c r="Q3" s="100" t="s">
        <v>236</v>
      </c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2"/>
      <c r="AE3" s="101" t="s">
        <v>221</v>
      </c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2"/>
    </row>
    <row r="4" spans="1:44" ht="18" customHeight="1" x14ac:dyDescent="0.2">
      <c r="A4" s="20" t="s">
        <v>102</v>
      </c>
      <c r="B4" s="2"/>
      <c r="C4" s="21" t="s">
        <v>103</v>
      </c>
      <c r="D4" s="21" t="s">
        <v>104</v>
      </c>
      <c r="E4" s="21" t="s">
        <v>105</v>
      </c>
      <c r="F4" s="21" t="s">
        <v>106</v>
      </c>
      <c r="G4" s="21" t="s">
        <v>50</v>
      </c>
      <c r="H4" s="21" t="s">
        <v>51</v>
      </c>
      <c r="I4" s="21" t="s">
        <v>107</v>
      </c>
      <c r="J4" s="21" t="s">
        <v>53</v>
      </c>
      <c r="K4" s="21" t="s">
        <v>108</v>
      </c>
      <c r="L4" s="21" t="s">
        <v>109</v>
      </c>
      <c r="M4" s="21" t="s">
        <v>110</v>
      </c>
      <c r="N4" s="21" t="s">
        <v>111</v>
      </c>
      <c r="O4" s="21" t="s">
        <v>112</v>
      </c>
      <c r="P4" s="2"/>
      <c r="Q4" s="22" t="s">
        <v>103</v>
      </c>
      <c r="R4" s="22" t="s">
        <v>104</v>
      </c>
      <c r="S4" s="22" t="s">
        <v>105</v>
      </c>
      <c r="T4" s="22" t="s">
        <v>106</v>
      </c>
      <c r="U4" s="22" t="s">
        <v>50</v>
      </c>
      <c r="V4" s="22" t="s">
        <v>51</v>
      </c>
      <c r="W4" s="22" t="s">
        <v>107</v>
      </c>
      <c r="X4" s="22" t="s">
        <v>53</v>
      </c>
      <c r="Y4" s="22" t="s">
        <v>108</v>
      </c>
      <c r="Z4" s="22" t="s">
        <v>109</v>
      </c>
      <c r="AA4" s="22" t="s">
        <v>110</v>
      </c>
      <c r="AB4" s="22" t="s">
        <v>111</v>
      </c>
      <c r="AC4" s="22" t="s">
        <v>112</v>
      </c>
      <c r="AD4" s="2"/>
      <c r="AE4" s="23" t="s">
        <v>103</v>
      </c>
      <c r="AF4" s="23" t="s">
        <v>104</v>
      </c>
      <c r="AG4" s="23" t="s">
        <v>105</v>
      </c>
      <c r="AH4" s="23" t="s">
        <v>106</v>
      </c>
      <c r="AI4" s="23" t="s">
        <v>50</v>
      </c>
      <c r="AJ4" s="23" t="s">
        <v>51</v>
      </c>
      <c r="AK4" s="23" t="s">
        <v>107</v>
      </c>
      <c r="AL4" s="23" t="s">
        <v>53</v>
      </c>
      <c r="AM4" s="23" t="s">
        <v>108</v>
      </c>
      <c r="AN4" s="23" t="s">
        <v>109</v>
      </c>
      <c r="AO4" s="23" t="s">
        <v>110</v>
      </c>
      <c r="AP4" s="23" t="s">
        <v>111</v>
      </c>
      <c r="AQ4" s="23" t="s">
        <v>112</v>
      </c>
      <c r="AR4" s="2"/>
    </row>
    <row r="5" spans="1:44" ht="18" customHeight="1" x14ac:dyDescent="0.2">
      <c r="A5" s="102" t="s">
        <v>239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2"/>
    </row>
    <row r="6" spans="1:44" ht="15.75" customHeight="1" x14ac:dyDescent="0.2">
      <c r="A6" s="51" t="s">
        <v>148</v>
      </c>
      <c r="B6" s="2"/>
      <c r="C6" s="52">
        <f>'① Hypothèses'!B89+'① Hypothèses'!B88</f>
        <v>100000</v>
      </c>
      <c r="D6" s="52" t="s">
        <v>149</v>
      </c>
      <c r="E6" s="52" t="s">
        <v>149</v>
      </c>
      <c r="F6" s="52" t="s">
        <v>149</v>
      </c>
      <c r="G6" s="52" t="s">
        <v>149</v>
      </c>
      <c r="H6" s="52" t="s">
        <v>149</v>
      </c>
      <c r="I6" s="52" t="s">
        <v>149</v>
      </c>
      <c r="J6" s="52" t="s">
        <v>149</v>
      </c>
      <c r="K6" s="52" t="s">
        <v>149</v>
      </c>
      <c r="L6" s="52" t="s">
        <v>149</v>
      </c>
      <c r="M6" s="52" t="s">
        <v>149</v>
      </c>
      <c r="N6" s="52" t="s">
        <v>149</v>
      </c>
      <c r="O6" s="53">
        <f>SUM(C6,D6,E6,F6,G6,H6,I6,J6,K6,L6,M6,N6)</f>
        <v>100000</v>
      </c>
      <c r="P6" s="2"/>
      <c r="Q6" s="52" t="s">
        <v>149</v>
      </c>
      <c r="R6" s="52" t="s">
        <v>149</v>
      </c>
      <c r="S6" s="52" t="s">
        <v>149</v>
      </c>
      <c r="T6" s="52" t="s">
        <v>149</v>
      </c>
      <c r="U6" s="52" t="s">
        <v>149</v>
      </c>
      <c r="V6" s="52" t="s">
        <v>149</v>
      </c>
      <c r="W6" s="52" t="s">
        <v>149</v>
      </c>
      <c r="X6" s="52" t="s">
        <v>149</v>
      </c>
      <c r="Y6" s="52" t="s">
        <v>149</v>
      </c>
      <c r="Z6" s="52" t="s">
        <v>149</v>
      </c>
      <c r="AA6" s="52" t="s">
        <v>149</v>
      </c>
      <c r="AB6" s="52" t="s">
        <v>149</v>
      </c>
      <c r="AC6" s="53">
        <f>SUM(Q6,R6,S6,T6,U6,V6,W6,X6,Y6,Z6,AA6,AB6)</f>
        <v>0</v>
      </c>
      <c r="AD6" s="2"/>
      <c r="AE6" s="52" t="s">
        <v>149</v>
      </c>
      <c r="AF6" s="52" t="s">
        <v>149</v>
      </c>
      <c r="AG6" s="52" t="s">
        <v>149</v>
      </c>
      <c r="AH6" s="52" t="s">
        <v>149</v>
      </c>
      <c r="AI6" s="52" t="s">
        <v>149</v>
      </c>
      <c r="AJ6" s="52" t="s">
        <v>149</v>
      </c>
      <c r="AK6" s="52" t="s">
        <v>149</v>
      </c>
      <c r="AL6" s="52" t="s">
        <v>149</v>
      </c>
      <c r="AM6" s="52" t="s">
        <v>149</v>
      </c>
      <c r="AN6" s="52" t="s">
        <v>149</v>
      </c>
      <c r="AO6" s="52" t="s">
        <v>149</v>
      </c>
      <c r="AP6" s="52" t="s">
        <v>149</v>
      </c>
      <c r="AQ6" s="53">
        <f>SUM(AE6,AF6,AG6,AH6,AI6,AJ6,AK6,AL6,AM6,AN6,AO6,AP6)</f>
        <v>0</v>
      </c>
      <c r="AR6" s="2"/>
    </row>
    <row r="7" spans="1:44" ht="15.75" customHeight="1" x14ac:dyDescent="0.2">
      <c r="A7" s="30" t="s">
        <v>150</v>
      </c>
      <c r="B7" s="2"/>
      <c r="C7" s="31">
        <f>'③ Exploitation CR'!C6</f>
        <v>111600</v>
      </c>
      <c r="D7" s="31">
        <f>'③ Exploitation CR'!D6</f>
        <v>100800</v>
      </c>
      <c r="E7" s="31">
        <f>'③ Exploitation CR'!E6</f>
        <v>163680</v>
      </c>
      <c r="F7" s="31">
        <f>'③ Exploitation CR'!F6</f>
        <v>187200</v>
      </c>
      <c r="G7" s="31">
        <f>'③ Exploitation CR'!G6</f>
        <v>208320</v>
      </c>
      <c r="H7" s="31">
        <f>'③ Exploitation CR'!H6</f>
        <v>306000</v>
      </c>
      <c r="I7" s="31">
        <f>'③ Exploitation CR'!I6</f>
        <v>372000</v>
      </c>
      <c r="J7" s="31">
        <f>'③ Exploitation CR'!J6</f>
        <v>372000</v>
      </c>
      <c r="K7" s="31">
        <f>'③ Exploitation CR'!K6</f>
        <v>360000</v>
      </c>
      <c r="L7" s="31">
        <f>'③ Exploitation CR'!L6</f>
        <v>297600</v>
      </c>
      <c r="M7" s="31">
        <f>'③ Exploitation CR'!M6</f>
        <v>172800</v>
      </c>
      <c r="N7" s="31">
        <f>'③ Exploitation CR'!N6</f>
        <v>193440</v>
      </c>
      <c r="O7" s="32">
        <f>SUM(C7,D7,E7,F7,G7,H7,I7,J7,K7,L7,M7,N7)</f>
        <v>2845440</v>
      </c>
      <c r="P7" s="2"/>
      <c r="Q7" s="31">
        <f>'③ Exploitation CR'!Q6</f>
        <v>153294</v>
      </c>
      <c r="R7" s="31">
        <f>'③ Exploitation CR'!R6</f>
        <v>138459</v>
      </c>
      <c r="S7" s="31">
        <f>'③ Exploitation CR'!S6</f>
        <v>168323</v>
      </c>
      <c r="T7" s="31">
        <f>'③ Exploitation CR'!T6</f>
        <v>191981</v>
      </c>
      <c r="U7" s="31">
        <f>'③ Exploitation CR'!U6</f>
        <v>213409</v>
      </c>
      <c r="V7" s="31">
        <f>'③ Exploitation CR'!V6</f>
        <v>312696</v>
      </c>
      <c r="W7" s="31">
        <f>'③ Exploitation CR'!W6</f>
        <v>375720</v>
      </c>
      <c r="X7" s="31">
        <f>'③ Exploitation CR'!X6</f>
        <v>375720</v>
      </c>
      <c r="Y7" s="31">
        <f>'③ Exploitation CR'!Y6</f>
        <v>363600</v>
      </c>
      <c r="Z7" s="31">
        <f>'③ Exploitation CR'!Z6</f>
        <v>304333</v>
      </c>
      <c r="AA7" s="31">
        <f>'③ Exploitation CR'!AA6</f>
        <v>177437</v>
      </c>
      <c r="AB7" s="31">
        <f>'③ Exploitation CR'!AB6</f>
        <v>198380</v>
      </c>
      <c r="AC7" s="32">
        <f>SUM(Q7,R7,S7,T7,U7,V7,W7,X7,Y7,Z7,AA7,AB7)</f>
        <v>2973352</v>
      </c>
      <c r="AD7" s="2"/>
      <c r="AE7" s="31">
        <f>'③ Exploitation CR'!AE6</f>
        <v>159426</v>
      </c>
      <c r="AF7" s="31">
        <f>'③ Exploitation CR'!AF6</f>
        <v>143997</v>
      </c>
      <c r="AG7" s="31">
        <f>'③ Exploitation CR'!AG6</f>
        <v>174755</v>
      </c>
      <c r="AH7" s="31">
        <f>'③ Exploitation CR'!AH6</f>
        <v>198787</v>
      </c>
      <c r="AI7" s="31">
        <f>'③ Exploitation CR'!AI6</f>
        <v>220743</v>
      </c>
      <c r="AJ7" s="31">
        <f>'③ Exploitation CR'!AJ6</f>
        <v>322659</v>
      </c>
      <c r="AK7" s="31">
        <f>'③ Exploitation CR'!AK6</f>
        <v>383234</v>
      </c>
      <c r="AL7" s="31">
        <f>'③ Exploitation CR'!AL6</f>
        <v>383234</v>
      </c>
      <c r="AM7" s="31">
        <f>'③ Exploitation CR'!AM6</f>
        <v>370872</v>
      </c>
      <c r="AN7" s="31">
        <f>'③ Exploitation CR'!AN6</f>
        <v>314252</v>
      </c>
      <c r="AO7" s="31">
        <f>'③ Exploitation CR'!AO6</f>
        <v>183953</v>
      </c>
      <c r="AP7" s="31">
        <f>'③ Exploitation CR'!AP6</f>
        <v>205414</v>
      </c>
      <c r="AQ7" s="32">
        <f>SUM(AE7,AF7,AG7,AH7,AI7,AJ7,AK7,AL7,AM7,AN7,AO7,AP7)</f>
        <v>3061326</v>
      </c>
      <c r="AR7" s="2"/>
    </row>
    <row r="8" spans="1:44" ht="15.75" customHeight="1" x14ac:dyDescent="0.2">
      <c r="A8" s="30" t="s">
        <v>151</v>
      </c>
      <c r="B8" s="2"/>
      <c r="C8" s="31">
        <f>'③ Exploitation CR'!C7</f>
        <v>11160</v>
      </c>
      <c r="D8" s="31">
        <f>'③ Exploitation CR'!D7</f>
        <v>10080</v>
      </c>
      <c r="E8" s="31">
        <f>'③ Exploitation CR'!E7</f>
        <v>16368</v>
      </c>
      <c r="F8" s="31">
        <f>'③ Exploitation CR'!F7</f>
        <v>18720</v>
      </c>
      <c r="G8" s="31">
        <f>'③ Exploitation CR'!G7</f>
        <v>20832</v>
      </c>
      <c r="H8" s="31">
        <f>'③ Exploitation CR'!H7</f>
        <v>30600</v>
      </c>
      <c r="I8" s="31">
        <f>'③ Exploitation CR'!I7</f>
        <v>37200</v>
      </c>
      <c r="J8" s="31">
        <f>'③ Exploitation CR'!J7</f>
        <v>37200</v>
      </c>
      <c r="K8" s="31">
        <f>'③ Exploitation CR'!K7</f>
        <v>36000</v>
      </c>
      <c r="L8" s="31">
        <f>'③ Exploitation CR'!L7</f>
        <v>29760</v>
      </c>
      <c r="M8" s="31">
        <f>'③ Exploitation CR'!M7</f>
        <v>17280</v>
      </c>
      <c r="N8" s="31">
        <f>'③ Exploitation CR'!N7</f>
        <v>19344</v>
      </c>
      <c r="O8" s="32">
        <f>SUM(C8,D8,E8,F8,G8,H8,I8,J8,K8,L8,M8,N8)</f>
        <v>284544</v>
      </c>
      <c r="P8" s="2"/>
      <c r="Q8" s="31">
        <f>'③ Exploitation CR'!Q7</f>
        <v>15329</v>
      </c>
      <c r="R8" s="31">
        <f>'③ Exploitation CR'!R7</f>
        <v>13846</v>
      </c>
      <c r="S8" s="31">
        <f>'③ Exploitation CR'!S7</f>
        <v>16832</v>
      </c>
      <c r="T8" s="31">
        <f>'③ Exploitation CR'!T7</f>
        <v>19198</v>
      </c>
      <c r="U8" s="31">
        <f>'③ Exploitation CR'!U7</f>
        <v>21341</v>
      </c>
      <c r="V8" s="31">
        <f>'③ Exploitation CR'!V7</f>
        <v>31270</v>
      </c>
      <c r="W8" s="31">
        <f>'③ Exploitation CR'!W7</f>
        <v>37572</v>
      </c>
      <c r="X8" s="31">
        <f>'③ Exploitation CR'!X7</f>
        <v>37572</v>
      </c>
      <c r="Y8" s="31">
        <f>'③ Exploitation CR'!Y7</f>
        <v>36360</v>
      </c>
      <c r="Z8" s="31">
        <f>'③ Exploitation CR'!Z7</f>
        <v>30433</v>
      </c>
      <c r="AA8" s="31">
        <f>'③ Exploitation CR'!AA7</f>
        <v>17744</v>
      </c>
      <c r="AB8" s="31">
        <f>'③ Exploitation CR'!AB7</f>
        <v>19838</v>
      </c>
      <c r="AC8" s="32">
        <f>SUM(Q8,R8,S8,T8,U8,V8,W8,X8,Y8,Z8,AA8,AB8)</f>
        <v>297335</v>
      </c>
      <c r="AD8" s="2"/>
      <c r="AE8" s="31">
        <f>'③ Exploitation CR'!AE7</f>
        <v>15943</v>
      </c>
      <c r="AF8" s="31">
        <f>'③ Exploitation CR'!AF7</f>
        <v>14400</v>
      </c>
      <c r="AG8" s="31">
        <f>'③ Exploitation CR'!AG7</f>
        <v>17476</v>
      </c>
      <c r="AH8" s="31">
        <f>'③ Exploitation CR'!AH7</f>
        <v>19879</v>
      </c>
      <c r="AI8" s="31">
        <f>'③ Exploitation CR'!AI7</f>
        <v>22074</v>
      </c>
      <c r="AJ8" s="31">
        <f>'③ Exploitation CR'!AJ7</f>
        <v>32266</v>
      </c>
      <c r="AK8" s="31">
        <f>'③ Exploitation CR'!AK7</f>
        <v>38323</v>
      </c>
      <c r="AL8" s="31">
        <f>'③ Exploitation CR'!AL7</f>
        <v>38323</v>
      </c>
      <c r="AM8" s="31">
        <f>'③ Exploitation CR'!AM7</f>
        <v>37087</v>
      </c>
      <c r="AN8" s="31">
        <f>'③ Exploitation CR'!AN7</f>
        <v>31425</v>
      </c>
      <c r="AO8" s="31">
        <f>'③ Exploitation CR'!AO7</f>
        <v>18395</v>
      </c>
      <c r="AP8" s="31">
        <f>'③ Exploitation CR'!AP7</f>
        <v>20541</v>
      </c>
      <c r="AQ8" s="32">
        <f>SUM(AE8,AF8,AG8,AH8,AI8,AJ8,AK8,AL8,AM8,AN8,AO8,AP8)</f>
        <v>306132</v>
      </c>
      <c r="AR8" s="2"/>
    </row>
    <row r="9" spans="1:44" ht="15.75" customHeight="1" x14ac:dyDescent="0.2">
      <c r="A9" s="30" t="s">
        <v>152</v>
      </c>
      <c r="B9" s="2"/>
      <c r="C9" s="31">
        <f>'③ Exploitation CR'!C8</f>
        <v>0</v>
      </c>
      <c r="D9" s="31">
        <f>'③ Exploitation CR'!D8</f>
        <v>0</v>
      </c>
      <c r="E9" s="31">
        <f>'③ Exploitation CR'!E8</f>
        <v>0</v>
      </c>
      <c r="F9" s="31">
        <f>'③ Exploitation CR'!F8</f>
        <v>0</v>
      </c>
      <c r="G9" s="31">
        <f>'③ Exploitation CR'!G8</f>
        <v>0</v>
      </c>
      <c r="H9" s="31">
        <f>'③ Exploitation CR'!H8</f>
        <v>0</v>
      </c>
      <c r="I9" s="31">
        <f>'③ Exploitation CR'!I8</f>
        <v>0</v>
      </c>
      <c r="J9" s="31">
        <f>'③ Exploitation CR'!J8</f>
        <v>0</v>
      </c>
      <c r="K9" s="31">
        <f>'③ Exploitation CR'!K8</f>
        <v>0</v>
      </c>
      <c r="L9" s="31">
        <f>'③ Exploitation CR'!L8</f>
        <v>0</v>
      </c>
      <c r="M9" s="31">
        <f>'③ Exploitation CR'!M8</f>
        <v>0</v>
      </c>
      <c r="N9" s="31">
        <f>'③ Exploitation CR'!N8</f>
        <v>0</v>
      </c>
      <c r="O9" s="32">
        <f>SUM(C9,D9,E9,F9,G9,H9,I9,J9,K9,L9,M9,N9)</f>
        <v>0</v>
      </c>
      <c r="P9" s="2"/>
      <c r="Q9" s="31">
        <f>'③ Exploitation CR'!Q8</f>
        <v>15329</v>
      </c>
      <c r="R9" s="31">
        <f>'③ Exploitation CR'!R8</f>
        <v>13846</v>
      </c>
      <c r="S9" s="31">
        <f>'③ Exploitation CR'!S8</f>
        <v>16832</v>
      </c>
      <c r="T9" s="31">
        <f>'③ Exploitation CR'!T8</f>
        <v>19198</v>
      </c>
      <c r="U9" s="31">
        <f>'③ Exploitation CR'!U8</f>
        <v>21341</v>
      </c>
      <c r="V9" s="31">
        <f>'③ Exploitation CR'!V8</f>
        <v>31270</v>
      </c>
      <c r="W9" s="31">
        <f>'③ Exploitation CR'!W8</f>
        <v>37572</v>
      </c>
      <c r="X9" s="31">
        <f>'③ Exploitation CR'!X8</f>
        <v>37572</v>
      </c>
      <c r="Y9" s="31">
        <f>'③ Exploitation CR'!Y8</f>
        <v>36360</v>
      </c>
      <c r="Z9" s="31">
        <f>'③ Exploitation CR'!Z8</f>
        <v>30433</v>
      </c>
      <c r="AA9" s="31">
        <f>'③ Exploitation CR'!AA8</f>
        <v>17744</v>
      </c>
      <c r="AB9" s="31">
        <f>'③ Exploitation CR'!AB8</f>
        <v>19838</v>
      </c>
      <c r="AC9" s="32">
        <f>SUM(Q9,R9,S9,T9,U9,V9,W9,X9,Y9,Z9,AA9,AB9)</f>
        <v>297335</v>
      </c>
      <c r="AD9" s="2"/>
      <c r="AE9" s="31">
        <f>'③ Exploitation CR'!AE8</f>
        <v>15943</v>
      </c>
      <c r="AF9" s="31">
        <f>'③ Exploitation CR'!AF8</f>
        <v>14400</v>
      </c>
      <c r="AG9" s="31">
        <f>'③ Exploitation CR'!AG8</f>
        <v>17476</v>
      </c>
      <c r="AH9" s="31">
        <f>'③ Exploitation CR'!AH8</f>
        <v>19879</v>
      </c>
      <c r="AI9" s="31">
        <f>'③ Exploitation CR'!AI8</f>
        <v>22074</v>
      </c>
      <c r="AJ9" s="31">
        <f>'③ Exploitation CR'!AJ8</f>
        <v>32266</v>
      </c>
      <c r="AK9" s="31">
        <f>'③ Exploitation CR'!AK8</f>
        <v>38323</v>
      </c>
      <c r="AL9" s="31">
        <f>'③ Exploitation CR'!AL8</f>
        <v>38323</v>
      </c>
      <c r="AM9" s="31">
        <f>'③ Exploitation CR'!AM8</f>
        <v>37087</v>
      </c>
      <c r="AN9" s="31">
        <f>'③ Exploitation CR'!AN8</f>
        <v>31425</v>
      </c>
      <c r="AO9" s="31">
        <f>'③ Exploitation CR'!AO8</f>
        <v>18395</v>
      </c>
      <c r="AP9" s="31">
        <f>'③ Exploitation CR'!AP8</f>
        <v>20541</v>
      </c>
      <c r="AQ9" s="32">
        <f>SUM(AE9,AF9,AG9,AH9,AI9,AJ9,AK9,AL9,AM9,AN9,AO9,AP9)</f>
        <v>306132</v>
      </c>
      <c r="AR9" s="2"/>
    </row>
    <row r="10" spans="1:44" ht="15.75" customHeight="1" x14ac:dyDescent="0.2">
      <c r="A10" s="30" t="s">
        <v>153</v>
      </c>
      <c r="B10" s="2"/>
      <c r="C10" s="31">
        <f>'③ Exploitation CR'!C9</f>
        <v>0</v>
      </c>
      <c r="D10" s="31">
        <f>'③ Exploitation CR'!D9</f>
        <v>0</v>
      </c>
      <c r="E10" s="31">
        <f>'③ Exploitation CR'!E9</f>
        <v>0</v>
      </c>
      <c r="F10" s="31">
        <f>'③ Exploitation CR'!F9</f>
        <v>0</v>
      </c>
      <c r="G10" s="31">
        <f>'③ Exploitation CR'!G9</f>
        <v>0</v>
      </c>
      <c r="H10" s="31">
        <f>'③ Exploitation CR'!H9</f>
        <v>0</v>
      </c>
      <c r="I10" s="31">
        <f>'③ Exploitation CR'!I9</f>
        <v>0</v>
      </c>
      <c r="J10" s="31">
        <f>'③ Exploitation CR'!J9</f>
        <v>0</v>
      </c>
      <c r="K10" s="31">
        <f>'③ Exploitation CR'!K9</f>
        <v>0</v>
      </c>
      <c r="L10" s="31">
        <f>'③ Exploitation CR'!L9</f>
        <v>0</v>
      </c>
      <c r="M10" s="31">
        <f>'③ Exploitation CR'!M9</f>
        <v>0</v>
      </c>
      <c r="N10" s="31">
        <f>'③ Exploitation CR'!N9</f>
        <v>0</v>
      </c>
      <c r="O10" s="32">
        <f>SUM(C10,D10,E10,F10,G10,H10,I10,J10,K10,L10,M10,N10)</f>
        <v>0</v>
      </c>
      <c r="P10" s="2"/>
      <c r="Q10" s="31">
        <f>'③ Exploitation CR'!Q9</f>
        <v>22994</v>
      </c>
      <c r="R10" s="31">
        <f>'③ Exploitation CR'!R9</f>
        <v>20769</v>
      </c>
      <c r="S10" s="31">
        <f>'③ Exploitation CR'!S9</f>
        <v>25248</v>
      </c>
      <c r="T10" s="31">
        <f>'③ Exploitation CR'!T9</f>
        <v>28797</v>
      </c>
      <c r="U10" s="31">
        <f>'③ Exploitation CR'!U9</f>
        <v>32011</v>
      </c>
      <c r="V10" s="31">
        <f>'③ Exploitation CR'!V9</f>
        <v>46904</v>
      </c>
      <c r="W10" s="31">
        <f>'③ Exploitation CR'!W9</f>
        <v>56358</v>
      </c>
      <c r="X10" s="31">
        <f>'③ Exploitation CR'!X9</f>
        <v>56358</v>
      </c>
      <c r="Y10" s="31">
        <f>'③ Exploitation CR'!Y9</f>
        <v>54540</v>
      </c>
      <c r="Z10" s="31">
        <f>'③ Exploitation CR'!Z9</f>
        <v>45650</v>
      </c>
      <c r="AA10" s="31">
        <f>'③ Exploitation CR'!AA9</f>
        <v>26616</v>
      </c>
      <c r="AB10" s="31">
        <f>'③ Exploitation CR'!AB9</f>
        <v>29757</v>
      </c>
      <c r="AC10" s="32">
        <f>SUM(Q10,R10,S10,T10,U10,V10,W10,X10,Y10,Z10,AA10,AB10)</f>
        <v>446002</v>
      </c>
      <c r="AD10" s="2"/>
      <c r="AE10" s="31">
        <f>'③ Exploitation CR'!AE9</f>
        <v>23914</v>
      </c>
      <c r="AF10" s="31">
        <f>'③ Exploitation CR'!AF9</f>
        <v>21600</v>
      </c>
      <c r="AG10" s="31">
        <f>'③ Exploitation CR'!AG9</f>
        <v>26213</v>
      </c>
      <c r="AH10" s="31">
        <f>'③ Exploitation CR'!AH9</f>
        <v>29818</v>
      </c>
      <c r="AI10" s="31">
        <f>'③ Exploitation CR'!AI9</f>
        <v>33111</v>
      </c>
      <c r="AJ10" s="31">
        <f>'③ Exploitation CR'!AJ9</f>
        <v>48399</v>
      </c>
      <c r="AK10" s="31">
        <f>'③ Exploitation CR'!AK9</f>
        <v>57485</v>
      </c>
      <c r="AL10" s="31">
        <f>'③ Exploitation CR'!AL9</f>
        <v>57485</v>
      </c>
      <c r="AM10" s="31">
        <f>'③ Exploitation CR'!AM9</f>
        <v>55631</v>
      </c>
      <c r="AN10" s="31">
        <f>'③ Exploitation CR'!AN9</f>
        <v>47138</v>
      </c>
      <c r="AO10" s="31">
        <f>'③ Exploitation CR'!AO9</f>
        <v>27593</v>
      </c>
      <c r="AP10" s="31">
        <f>'③ Exploitation CR'!AP9</f>
        <v>30812</v>
      </c>
      <c r="AQ10" s="32">
        <f>SUM(AE10,AF10,AG10,AH10,AI10,AJ10,AK10,AL10,AM10,AN10,AO10,AP10)</f>
        <v>459199</v>
      </c>
      <c r="AR10" s="2"/>
    </row>
    <row r="11" spans="1:44" ht="15.75" customHeight="1" x14ac:dyDescent="0.2">
      <c r="A11" s="30" t="s">
        <v>154</v>
      </c>
      <c r="B11" s="2"/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2">
        <v>0</v>
      </c>
      <c r="P11" s="2"/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2">
        <v>0</v>
      </c>
      <c r="AD11" s="2"/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2">
        <v>0</v>
      </c>
      <c r="AR11" s="2"/>
    </row>
    <row r="12" spans="1:44" ht="15.75" customHeight="1" x14ac:dyDescent="0.2">
      <c r="A12" s="24" t="s">
        <v>155</v>
      </c>
      <c r="B12" s="2"/>
      <c r="C12" s="25">
        <f>C6+C7+C8+C9+C10+C11</f>
        <v>222760</v>
      </c>
      <c r="D12" s="25">
        <f t="shared" ref="D12:N12" si="0">D6+D7+D8+D9+D10+D11</f>
        <v>110880</v>
      </c>
      <c r="E12" s="25">
        <f t="shared" si="0"/>
        <v>180048</v>
      </c>
      <c r="F12" s="25">
        <f t="shared" si="0"/>
        <v>205920</v>
      </c>
      <c r="G12" s="25">
        <f t="shared" si="0"/>
        <v>229152</v>
      </c>
      <c r="H12" s="25">
        <f t="shared" si="0"/>
        <v>336600</v>
      </c>
      <c r="I12" s="25">
        <f t="shared" si="0"/>
        <v>409200</v>
      </c>
      <c r="J12" s="25">
        <f t="shared" si="0"/>
        <v>409200</v>
      </c>
      <c r="K12" s="25">
        <f t="shared" si="0"/>
        <v>396000</v>
      </c>
      <c r="L12" s="25">
        <f t="shared" si="0"/>
        <v>327360</v>
      </c>
      <c r="M12" s="25">
        <f t="shared" si="0"/>
        <v>190080</v>
      </c>
      <c r="N12" s="25">
        <f t="shared" si="0"/>
        <v>212784</v>
      </c>
      <c r="O12" s="26">
        <f>SUM(C12,D12,E12,F12,G12,H12,I12,J12,K12,L12,M12,N12)</f>
        <v>3229984</v>
      </c>
      <c r="P12" s="2"/>
      <c r="Q12" s="25">
        <f t="shared" ref="Q12:AB12" si="1">Q6+Q7+Q8+Q9+Q10+Q11</f>
        <v>206946</v>
      </c>
      <c r="R12" s="25">
        <f t="shared" si="1"/>
        <v>186920</v>
      </c>
      <c r="S12" s="25">
        <f t="shared" si="1"/>
        <v>227235</v>
      </c>
      <c r="T12" s="25">
        <f t="shared" si="1"/>
        <v>259174</v>
      </c>
      <c r="U12" s="25">
        <f t="shared" si="1"/>
        <v>288102</v>
      </c>
      <c r="V12" s="25">
        <f t="shared" si="1"/>
        <v>422140</v>
      </c>
      <c r="W12" s="25">
        <f t="shared" si="1"/>
        <v>507222</v>
      </c>
      <c r="X12" s="25">
        <f t="shared" si="1"/>
        <v>507222</v>
      </c>
      <c r="Y12" s="25">
        <f t="shared" si="1"/>
        <v>490860</v>
      </c>
      <c r="Z12" s="25">
        <f t="shared" si="1"/>
        <v>410849</v>
      </c>
      <c r="AA12" s="25">
        <f t="shared" si="1"/>
        <v>239541</v>
      </c>
      <c r="AB12" s="25">
        <f t="shared" si="1"/>
        <v>267813</v>
      </c>
      <c r="AC12" s="26">
        <f>SUM(Q12,R12,S12,T12,U12,V12,W12,X12,Y12,Z12,AA12,AB12)</f>
        <v>4014024</v>
      </c>
      <c r="AD12" s="2"/>
      <c r="AE12" s="25">
        <f t="shared" ref="AE12:AP12" si="2">AE6+AE7+AE8+AE9+AE10+AE11</f>
        <v>215226</v>
      </c>
      <c r="AF12" s="25">
        <f t="shared" si="2"/>
        <v>194397</v>
      </c>
      <c r="AG12" s="25">
        <f t="shared" si="2"/>
        <v>235920</v>
      </c>
      <c r="AH12" s="25">
        <f t="shared" si="2"/>
        <v>268363</v>
      </c>
      <c r="AI12" s="25">
        <f t="shared" si="2"/>
        <v>298002</v>
      </c>
      <c r="AJ12" s="25">
        <f t="shared" si="2"/>
        <v>435590</v>
      </c>
      <c r="AK12" s="25">
        <f t="shared" si="2"/>
        <v>517365</v>
      </c>
      <c r="AL12" s="25">
        <f t="shared" si="2"/>
        <v>517365</v>
      </c>
      <c r="AM12" s="25">
        <f t="shared" si="2"/>
        <v>500677</v>
      </c>
      <c r="AN12" s="25">
        <f t="shared" si="2"/>
        <v>424240</v>
      </c>
      <c r="AO12" s="25">
        <f t="shared" si="2"/>
        <v>248336</v>
      </c>
      <c r="AP12" s="25">
        <f t="shared" si="2"/>
        <v>277308</v>
      </c>
      <c r="AQ12" s="26">
        <f>SUM(AE12,AF12,AG12,AH12,AI12,AJ12,AK12,AL12,AM12,AN12,AO12,AP12)</f>
        <v>4132789</v>
      </c>
      <c r="AR12" s="2"/>
    </row>
    <row r="13" spans="1:44" ht="18" customHeight="1" x14ac:dyDescent="0.2">
      <c r="A13" s="103" t="s">
        <v>238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2"/>
    </row>
    <row r="14" spans="1:44" ht="15.75" customHeight="1" x14ac:dyDescent="0.2">
      <c r="A14" s="30" t="s">
        <v>156</v>
      </c>
      <c r="B14" s="2"/>
      <c r="C14" s="31">
        <f>'③ Exploitation CR'!C13</f>
        <v>17856</v>
      </c>
      <c r="D14" s="31">
        <f>'③ Exploitation CR'!D13</f>
        <v>16128</v>
      </c>
      <c r="E14" s="31">
        <f>'③ Exploitation CR'!E13</f>
        <v>26189</v>
      </c>
      <c r="F14" s="31">
        <f>'③ Exploitation CR'!F13</f>
        <v>29952</v>
      </c>
      <c r="G14" s="31">
        <f>'③ Exploitation CR'!G13</f>
        <v>33331</v>
      </c>
      <c r="H14" s="31">
        <f>'③ Exploitation CR'!H13</f>
        <v>48960</v>
      </c>
      <c r="I14" s="31">
        <f>'③ Exploitation CR'!I13</f>
        <v>59520</v>
      </c>
      <c r="J14" s="31">
        <f>'③ Exploitation CR'!J13</f>
        <v>59520</v>
      </c>
      <c r="K14" s="31">
        <f>'③ Exploitation CR'!K13</f>
        <v>57600</v>
      </c>
      <c r="L14" s="31">
        <f>'③ Exploitation CR'!L13</f>
        <v>47616</v>
      </c>
      <c r="M14" s="31">
        <f>'③ Exploitation CR'!M13</f>
        <v>27648</v>
      </c>
      <c r="N14" s="31">
        <f>'③ Exploitation CR'!N13</f>
        <v>30950</v>
      </c>
      <c r="O14" s="32">
        <f t="shared" ref="O14:O26" si="3">SUM(C14,D14,E14,F14,G14,H14,I14,J14,K14,L14,M14,N14)</f>
        <v>455270</v>
      </c>
      <c r="P14" s="2"/>
      <c r="Q14" s="31">
        <f>'③ Exploitation CR'!Q13</f>
        <v>24527</v>
      </c>
      <c r="R14" s="31">
        <f>'③ Exploitation CR'!R13</f>
        <v>22153</v>
      </c>
      <c r="S14" s="31">
        <f>'③ Exploitation CR'!S13</f>
        <v>26932</v>
      </c>
      <c r="T14" s="31">
        <f>'③ Exploitation CR'!T13</f>
        <v>30717</v>
      </c>
      <c r="U14" s="31">
        <f>'③ Exploitation CR'!U13</f>
        <v>34145</v>
      </c>
      <c r="V14" s="31">
        <f>'③ Exploitation CR'!V13</f>
        <v>50031</v>
      </c>
      <c r="W14" s="31">
        <f>'③ Exploitation CR'!W13</f>
        <v>60115</v>
      </c>
      <c r="X14" s="31">
        <f>'③ Exploitation CR'!X13</f>
        <v>60115</v>
      </c>
      <c r="Y14" s="31">
        <f>'③ Exploitation CR'!Y13</f>
        <v>58176</v>
      </c>
      <c r="Z14" s="31">
        <f>'③ Exploitation CR'!Z13</f>
        <v>48693</v>
      </c>
      <c r="AA14" s="31">
        <f>'③ Exploitation CR'!AA13</f>
        <v>28390</v>
      </c>
      <c r="AB14" s="31">
        <f>'③ Exploitation CR'!AB13</f>
        <v>31741</v>
      </c>
      <c r="AC14" s="32">
        <f t="shared" ref="AC14:AC26" si="4">SUM(Q14,R14,S14,T14,U14,V14,W14,X14,Y14,Z14,AA14,AB14)</f>
        <v>475735</v>
      </c>
      <c r="AD14" s="2"/>
      <c r="AE14" s="31">
        <f>'③ Exploitation CR'!AE13</f>
        <v>25508</v>
      </c>
      <c r="AF14" s="31">
        <f>'③ Exploitation CR'!AF13</f>
        <v>23040</v>
      </c>
      <c r="AG14" s="31">
        <f>'③ Exploitation CR'!AG13</f>
        <v>27961</v>
      </c>
      <c r="AH14" s="31">
        <f>'③ Exploitation CR'!AH13</f>
        <v>31806</v>
      </c>
      <c r="AI14" s="31">
        <f>'③ Exploitation CR'!AI13</f>
        <v>35319</v>
      </c>
      <c r="AJ14" s="31">
        <f>'③ Exploitation CR'!AJ13</f>
        <v>51625</v>
      </c>
      <c r="AK14" s="31">
        <f>'③ Exploitation CR'!AK13</f>
        <v>61317</v>
      </c>
      <c r="AL14" s="31">
        <f>'③ Exploitation CR'!AL13</f>
        <v>61317</v>
      </c>
      <c r="AM14" s="31">
        <f>'③ Exploitation CR'!AM13</f>
        <v>59340</v>
      </c>
      <c r="AN14" s="31">
        <f>'③ Exploitation CR'!AN13</f>
        <v>50280</v>
      </c>
      <c r="AO14" s="31">
        <f>'③ Exploitation CR'!AO13</f>
        <v>29432</v>
      </c>
      <c r="AP14" s="31">
        <f>'③ Exploitation CR'!AP13</f>
        <v>32866</v>
      </c>
      <c r="AQ14" s="32">
        <f t="shared" ref="AQ14:AQ26" si="5">SUM(AE14,AF14,AG14,AH14,AI14,AJ14,AK14,AL14,AM14,AN14,AO14,AP14)</f>
        <v>489811</v>
      </c>
      <c r="AR14" s="2"/>
    </row>
    <row r="15" spans="1:44" ht="15.75" customHeight="1" x14ac:dyDescent="0.2">
      <c r="A15" s="30" t="s">
        <v>127</v>
      </c>
      <c r="B15" s="2"/>
      <c r="C15" s="31">
        <f>'③ Exploitation CR'!C14</f>
        <v>4464</v>
      </c>
      <c r="D15" s="31">
        <f>'③ Exploitation CR'!D14</f>
        <v>4032</v>
      </c>
      <c r="E15" s="31">
        <f>'③ Exploitation CR'!E14</f>
        <v>6547</v>
      </c>
      <c r="F15" s="31">
        <f>'③ Exploitation CR'!F14</f>
        <v>7488</v>
      </c>
      <c r="G15" s="31">
        <f>'③ Exploitation CR'!G14</f>
        <v>8333</v>
      </c>
      <c r="H15" s="31">
        <f>'③ Exploitation CR'!H14</f>
        <v>12240</v>
      </c>
      <c r="I15" s="31">
        <f>'③ Exploitation CR'!I14</f>
        <v>14880</v>
      </c>
      <c r="J15" s="31">
        <f>'③ Exploitation CR'!J14</f>
        <v>14880</v>
      </c>
      <c r="K15" s="31">
        <f>'③ Exploitation CR'!K14</f>
        <v>14400</v>
      </c>
      <c r="L15" s="31">
        <f>'③ Exploitation CR'!L14</f>
        <v>11904</v>
      </c>
      <c r="M15" s="31">
        <f>'③ Exploitation CR'!M14</f>
        <v>6912</v>
      </c>
      <c r="N15" s="31">
        <f>'③ Exploitation CR'!N14</f>
        <v>7738</v>
      </c>
      <c r="O15" s="32">
        <f t="shared" si="3"/>
        <v>113818</v>
      </c>
      <c r="P15" s="2"/>
      <c r="Q15" s="31">
        <f>'③ Exploitation CR'!Q14</f>
        <v>6132</v>
      </c>
      <c r="R15" s="31">
        <f>'③ Exploitation CR'!R14</f>
        <v>5538</v>
      </c>
      <c r="S15" s="31">
        <f>'③ Exploitation CR'!S14</f>
        <v>6733</v>
      </c>
      <c r="T15" s="31">
        <f>'③ Exploitation CR'!T14</f>
        <v>7679</v>
      </c>
      <c r="U15" s="31">
        <f>'③ Exploitation CR'!U14</f>
        <v>8536</v>
      </c>
      <c r="V15" s="31">
        <f>'③ Exploitation CR'!V14</f>
        <v>12508</v>
      </c>
      <c r="W15" s="31">
        <f>'③ Exploitation CR'!W14</f>
        <v>15029</v>
      </c>
      <c r="X15" s="31">
        <f>'③ Exploitation CR'!X14</f>
        <v>15029</v>
      </c>
      <c r="Y15" s="31">
        <f>'③ Exploitation CR'!Y14</f>
        <v>14544</v>
      </c>
      <c r="Z15" s="31">
        <f>'③ Exploitation CR'!Z14</f>
        <v>12173</v>
      </c>
      <c r="AA15" s="31">
        <f>'③ Exploitation CR'!AA14</f>
        <v>7098</v>
      </c>
      <c r="AB15" s="31">
        <f>'③ Exploitation CR'!AB14</f>
        <v>7935</v>
      </c>
      <c r="AC15" s="32">
        <f t="shared" si="4"/>
        <v>118934</v>
      </c>
      <c r="AD15" s="2"/>
      <c r="AE15" s="31">
        <f>'③ Exploitation CR'!AE14</f>
        <v>6377</v>
      </c>
      <c r="AF15" s="31">
        <f>'③ Exploitation CR'!AF14</f>
        <v>5760</v>
      </c>
      <c r="AG15" s="31">
        <f>'③ Exploitation CR'!AG14</f>
        <v>6990</v>
      </c>
      <c r="AH15" s="31">
        <f>'③ Exploitation CR'!AH14</f>
        <v>7952</v>
      </c>
      <c r="AI15" s="31">
        <f>'③ Exploitation CR'!AI14</f>
        <v>8830</v>
      </c>
      <c r="AJ15" s="31">
        <f>'③ Exploitation CR'!AJ14</f>
        <v>12906</v>
      </c>
      <c r="AK15" s="31">
        <f>'③ Exploitation CR'!AK14</f>
        <v>15329</v>
      </c>
      <c r="AL15" s="31">
        <f>'③ Exploitation CR'!AL14</f>
        <v>15329</v>
      </c>
      <c r="AM15" s="31">
        <f>'③ Exploitation CR'!AM14</f>
        <v>14835</v>
      </c>
      <c r="AN15" s="31">
        <f>'③ Exploitation CR'!AN14</f>
        <v>12570</v>
      </c>
      <c r="AO15" s="31">
        <f>'③ Exploitation CR'!AO14</f>
        <v>7358</v>
      </c>
      <c r="AP15" s="31">
        <f>'③ Exploitation CR'!AP14</f>
        <v>8216</v>
      </c>
      <c r="AQ15" s="32">
        <f t="shared" si="5"/>
        <v>122452</v>
      </c>
      <c r="AR15" s="2"/>
    </row>
    <row r="16" spans="1:44" ht="15.75" customHeight="1" x14ac:dyDescent="0.2">
      <c r="A16" s="41" t="s">
        <v>237</v>
      </c>
      <c r="B16" s="2"/>
      <c r="C16" s="42">
        <f>'① Hypothèses'!B24</f>
        <v>27761</v>
      </c>
      <c r="D16" s="42">
        <f>'① Hypothèses'!B24</f>
        <v>27761</v>
      </c>
      <c r="E16" s="42">
        <f>'① Hypothèses'!B24</f>
        <v>27761</v>
      </c>
      <c r="F16" s="42">
        <f>'① Hypothèses'!B24</f>
        <v>27761</v>
      </c>
      <c r="G16" s="42">
        <f>'① Hypothèses'!B24</f>
        <v>27761</v>
      </c>
      <c r="H16" s="42">
        <f>'① Hypothèses'!B24</f>
        <v>27761</v>
      </c>
      <c r="I16" s="42">
        <f>'① Hypothèses'!B24</f>
        <v>27761</v>
      </c>
      <c r="J16" s="42">
        <f>'① Hypothèses'!B24</f>
        <v>27761</v>
      </c>
      <c r="K16" s="42">
        <f>'① Hypothèses'!B24</f>
        <v>27761</v>
      </c>
      <c r="L16" s="42">
        <f>'① Hypothèses'!B24</f>
        <v>27761</v>
      </c>
      <c r="M16" s="42">
        <f>'① Hypothèses'!B24</f>
        <v>27761</v>
      </c>
      <c r="N16" s="42">
        <f>'① Hypothèses'!B24</f>
        <v>27761</v>
      </c>
      <c r="O16" s="48">
        <f t="shared" si="3"/>
        <v>333132</v>
      </c>
      <c r="P16" s="2"/>
      <c r="Q16" s="42">
        <f>'① Hypothèses'!B24</f>
        <v>27761</v>
      </c>
      <c r="R16" s="42">
        <f>'① Hypothèses'!B24</f>
        <v>27761</v>
      </c>
      <c r="S16" s="42">
        <f>'① Hypothèses'!B24</f>
        <v>27761</v>
      </c>
      <c r="T16" s="42">
        <f>'① Hypothèses'!B24</f>
        <v>27761</v>
      </c>
      <c r="U16" s="42">
        <f>'① Hypothèses'!B24</f>
        <v>27761</v>
      </c>
      <c r="V16" s="42">
        <f>'① Hypothèses'!B24</f>
        <v>27761</v>
      </c>
      <c r="W16" s="42">
        <f>'① Hypothèses'!B24</f>
        <v>27761</v>
      </c>
      <c r="X16" s="42">
        <f>'① Hypothèses'!B24</f>
        <v>27761</v>
      </c>
      <c r="Y16" s="42">
        <f>'① Hypothèses'!B24</f>
        <v>27761</v>
      </c>
      <c r="Z16" s="42">
        <f>'① Hypothèses'!B24</f>
        <v>27761</v>
      </c>
      <c r="AA16" s="42">
        <f>'① Hypothèses'!B24</f>
        <v>27761</v>
      </c>
      <c r="AB16" s="42">
        <f>'① Hypothèses'!B24</f>
        <v>27761</v>
      </c>
      <c r="AC16" s="48">
        <f t="shared" si="4"/>
        <v>333132</v>
      </c>
      <c r="AD16" s="2"/>
      <c r="AE16" s="42">
        <f>'① Hypothèses'!B24</f>
        <v>27761</v>
      </c>
      <c r="AF16" s="42">
        <f>'① Hypothèses'!B24</f>
        <v>27761</v>
      </c>
      <c r="AG16" s="42">
        <f>'① Hypothèses'!B24</f>
        <v>27761</v>
      </c>
      <c r="AH16" s="42">
        <f>'① Hypothèses'!B24</f>
        <v>27761</v>
      </c>
      <c r="AI16" s="42">
        <f>'① Hypothèses'!B24</f>
        <v>27761</v>
      </c>
      <c r="AJ16" s="42">
        <f>'① Hypothèses'!B24</f>
        <v>27761</v>
      </c>
      <c r="AK16" s="42">
        <f>'① Hypothèses'!B24</f>
        <v>27761</v>
      </c>
      <c r="AL16" s="42">
        <f>'① Hypothèses'!B24</f>
        <v>27761</v>
      </c>
      <c r="AM16" s="42">
        <f>'① Hypothèses'!B24</f>
        <v>27761</v>
      </c>
      <c r="AN16" s="42">
        <f>'① Hypothèses'!B24</f>
        <v>27761</v>
      </c>
      <c r="AO16" s="42">
        <f>'① Hypothèses'!B24</f>
        <v>27761</v>
      </c>
      <c r="AP16" s="42">
        <f>'① Hypothèses'!B24</f>
        <v>27761</v>
      </c>
      <c r="AQ16" s="48">
        <f t="shared" si="5"/>
        <v>333132</v>
      </c>
      <c r="AR16" s="2"/>
    </row>
    <row r="17" spans="1:44" ht="15.75" customHeight="1" x14ac:dyDescent="0.2">
      <c r="A17" s="30" t="s">
        <v>129</v>
      </c>
      <c r="B17" s="2"/>
      <c r="C17" s="31">
        <f>'③ Exploitation CR'!C16</f>
        <v>3750</v>
      </c>
      <c r="D17" s="31">
        <f>'③ Exploitation CR'!D16</f>
        <v>3750</v>
      </c>
      <c r="E17" s="31">
        <f>'③ Exploitation CR'!E16</f>
        <v>3750</v>
      </c>
      <c r="F17" s="31">
        <f>'③ Exploitation CR'!F16</f>
        <v>3750</v>
      </c>
      <c r="G17" s="31">
        <f>'③ Exploitation CR'!G16</f>
        <v>3750</v>
      </c>
      <c r="H17" s="31">
        <f>'③ Exploitation CR'!H16</f>
        <v>3750</v>
      </c>
      <c r="I17" s="31">
        <f>'③ Exploitation CR'!I16</f>
        <v>3750</v>
      </c>
      <c r="J17" s="31">
        <f>'③ Exploitation CR'!J16</f>
        <v>3750</v>
      </c>
      <c r="K17" s="31">
        <f>'③ Exploitation CR'!K16</f>
        <v>3750</v>
      </c>
      <c r="L17" s="31">
        <f>'③ Exploitation CR'!L16</f>
        <v>3750</v>
      </c>
      <c r="M17" s="31">
        <f>'③ Exploitation CR'!M16</f>
        <v>3750</v>
      </c>
      <c r="N17" s="31">
        <f>'③ Exploitation CR'!N16</f>
        <v>3750</v>
      </c>
      <c r="O17" s="32">
        <f t="shared" si="3"/>
        <v>45000</v>
      </c>
      <c r="P17" s="2"/>
      <c r="Q17" s="31">
        <f>'③ Exploitation CR'!Q16</f>
        <v>3825</v>
      </c>
      <c r="R17" s="31">
        <f>'③ Exploitation CR'!R16</f>
        <v>3825</v>
      </c>
      <c r="S17" s="31">
        <f>'③ Exploitation CR'!S16</f>
        <v>3825</v>
      </c>
      <c r="T17" s="31">
        <f>'③ Exploitation CR'!T16</f>
        <v>3825</v>
      </c>
      <c r="U17" s="31">
        <f>'③ Exploitation CR'!U16</f>
        <v>3825</v>
      </c>
      <c r="V17" s="31">
        <f>'③ Exploitation CR'!V16</f>
        <v>3825</v>
      </c>
      <c r="W17" s="31">
        <f>'③ Exploitation CR'!W16</f>
        <v>3825</v>
      </c>
      <c r="X17" s="31">
        <f>'③ Exploitation CR'!X16</f>
        <v>3825</v>
      </c>
      <c r="Y17" s="31">
        <f>'③ Exploitation CR'!Y16</f>
        <v>3825</v>
      </c>
      <c r="Z17" s="31">
        <f>'③ Exploitation CR'!Z16</f>
        <v>3825</v>
      </c>
      <c r="AA17" s="31">
        <f>'③ Exploitation CR'!AA16</f>
        <v>3825</v>
      </c>
      <c r="AB17" s="31">
        <f>'③ Exploitation CR'!AB16</f>
        <v>3825</v>
      </c>
      <c r="AC17" s="32">
        <f t="shared" si="4"/>
        <v>45900</v>
      </c>
      <c r="AD17" s="2"/>
      <c r="AE17" s="31">
        <f>'③ Exploitation CR'!AE16</f>
        <v>3902</v>
      </c>
      <c r="AF17" s="31">
        <f>'③ Exploitation CR'!AF16</f>
        <v>3902</v>
      </c>
      <c r="AG17" s="31">
        <f>'③ Exploitation CR'!AG16</f>
        <v>3902</v>
      </c>
      <c r="AH17" s="31">
        <f>'③ Exploitation CR'!AH16</f>
        <v>3902</v>
      </c>
      <c r="AI17" s="31">
        <f>'③ Exploitation CR'!AI16</f>
        <v>3902</v>
      </c>
      <c r="AJ17" s="31">
        <f>'③ Exploitation CR'!AJ16</f>
        <v>3902</v>
      </c>
      <c r="AK17" s="31">
        <f>'③ Exploitation CR'!AK16</f>
        <v>3902</v>
      </c>
      <c r="AL17" s="31">
        <f>'③ Exploitation CR'!AL16</f>
        <v>3902</v>
      </c>
      <c r="AM17" s="31">
        <f>'③ Exploitation CR'!AM16</f>
        <v>3902</v>
      </c>
      <c r="AN17" s="31">
        <f>'③ Exploitation CR'!AN16</f>
        <v>3902</v>
      </c>
      <c r="AO17" s="31">
        <f>'③ Exploitation CR'!AO16</f>
        <v>3902</v>
      </c>
      <c r="AP17" s="31">
        <f>'③ Exploitation CR'!AP16</f>
        <v>3902</v>
      </c>
      <c r="AQ17" s="32">
        <f t="shared" si="5"/>
        <v>46824</v>
      </c>
      <c r="AR17" s="2"/>
    </row>
    <row r="18" spans="1:44" ht="15.75" customHeight="1" x14ac:dyDescent="0.2">
      <c r="A18" s="30" t="s">
        <v>130</v>
      </c>
      <c r="B18" s="2"/>
      <c r="C18" s="31">
        <f>'③ Exploitation CR'!C17</f>
        <v>15000</v>
      </c>
      <c r="D18" s="31">
        <f>'③ Exploitation CR'!D17</f>
        <v>15000</v>
      </c>
      <c r="E18" s="31">
        <f>'③ Exploitation CR'!E17</f>
        <v>15000</v>
      </c>
      <c r="F18" s="31">
        <f>'③ Exploitation CR'!F17</f>
        <v>15000</v>
      </c>
      <c r="G18" s="31">
        <f>'③ Exploitation CR'!G17</f>
        <v>15000</v>
      </c>
      <c r="H18" s="31">
        <f>'③ Exploitation CR'!H17</f>
        <v>15000</v>
      </c>
      <c r="I18" s="31">
        <f>'③ Exploitation CR'!I17</f>
        <v>15000</v>
      </c>
      <c r="J18" s="31">
        <f>'③ Exploitation CR'!J17</f>
        <v>15000</v>
      </c>
      <c r="K18" s="31">
        <f>'③ Exploitation CR'!K17</f>
        <v>15000</v>
      </c>
      <c r="L18" s="31">
        <f>'③ Exploitation CR'!L17</f>
        <v>15000</v>
      </c>
      <c r="M18" s="31">
        <f>'③ Exploitation CR'!M17</f>
        <v>15000</v>
      </c>
      <c r="N18" s="31">
        <f>'③ Exploitation CR'!N17</f>
        <v>15000</v>
      </c>
      <c r="O18" s="32">
        <f t="shared" si="3"/>
        <v>180000</v>
      </c>
      <c r="P18" s="2"/>
      <c r="Q18" s="31">
        <f>'③ Exploitation CR'!Q17</f>
        <v>15300</v>
      </c>
      <c r="R18" s="31">
        <f>'③ Exploitation CR'!R17</f>
        <v>15300</v>
      </c>
      <c r="S18" s="31">
        <f>'③ Exploitation CR'!S17</f>
        <v>15300</v>
      </c>
      <c r="T18" s="31">
        <f>'③ Exploitation CR'!T17</f>
        <v>15300</v>
      </c>
      <c r="U18" s="31">
        <f>'③ Exploitation CR'!U17</f>
        <v>15300</v>
      </c>
      <c r="V18" s="31">
        <f>'③ Exploitation CR'!V17</f>
        <v>15300</v>
      </c>
      <c r="W18" s="31">
        <f>'③ Exploitation CR'!W17</f>
        <v>15300</v>
      </c>
      <c r="X18" s="31">
        <f>'③ Exploitation CR'!X17</f>
        <v>15300</v>
      </c>
      <c r="Y18" s="31">
        <f>'③ Exploitation CR'!Y17</f>
        <v>15300</v>
      </c>
      <c r="Z18" s="31">
        <f>'③ Exploitation CR'!Z17</f>
        <v>15300</v>
      </c>
      <c r="AA18" s="31">
        <f>'③ Exploitation CR'!AA17</f>
        <v>15300</v>
      </c>
      <c r="AB18" s="31">
        <f>'③ Exploitation CR'!AB17</f>
        <v>15300</v>
      </c>
      <c r="AC18" s="32">
        <f t="shared" si="4"/>
        <v>183600</v>
      </c>
      <c r="AD18" s="2"/>
      <c r="AE18" s="31">
        <f>'③ Exploitation CR'!AE17</f>
        <v>15606</v>
      </c>
      <c r="AF18" s="31">
        <f>'③ Exploitation CR'!AF17</f>
        <v>15606</v>
      </c>
      <c r="AG18" s="31">
        <f>'③ Exploitation CR'!AG17</f>
        <v>15606</v>
      </c>
      <c r="AH18" s="31">
        <f>'③ Exploitation CR'!AH17</f>
        <v>15606</v>
      </c>
      <c r="AI18" s="31">
        <f>'③ Exploitation CR'!AI17</f>
        <v>15606</v>
      </c>
      <c r="AJ18" s="31">
        <f>'③ Exploitation CR'!AJ17</f>
        <v>15606</v>
      </c>
      <c r="AK18" s="31">
        <f>'③ Exploitation CR'!AK17</f>
        <v>15606</v>
      </c>
      <c r="AL18" s="31">
        <f>'③ Exploitation CR'!AL17</f>
        <v>15606</v>
      </c>
      <c r="AM18" s="31">
        <f>'③ Exploitation CR'!AM17</f>
        <v>15606</v>
      </c>
      <c r="AN18" s="31">
        <f>'③ Exploitation CR'!AN17</f>
        <v>15606</v>
      </c>
      <c r="AO18" s="31">
        <f>'③ Exploitation CR'!AO17</f>
        <v>15606</v>
      </c>
      <c r="AP18" s="31">
        <f>'③ Exploitation CR'!AP17</f>
        <v>15606</v>
      </c>
      <c r="AQ18" s="32">
        <f t="shared" si="5"/>
        <v>187272</v>
      </c>
      <c r="AR18" s="2"/>
    </row>
    <row r="19" spans="1:44" ht="15.75" customHeight="1" x14ac:dyDescent="0.2">
      <c r="A19" s="30" t="s">
        <v>131</v>
      </c>
      <c r="B19" s="2"/>
      <c r="C19" s="31">
        <f>'③ Exploitation CR'!C18</f>
        <v>5833</v>
      </c>
      <c r="D19" s="31">
        <f>'③ Exploitation CR'!D18</f>
        <v>5833</v>
      </c>
      <c r="E19" s="31">
        <f>'③ Exploitation CR'!E18</f>
        <v>5833</v>
      </c>
      <c r="F19" s="31">
        <f>'③ Exploitation CR'!F18</f>
        <v>5833</v>
      </c>
      <c r="G19" s="31">
        <f>'③ Exploitation CR'!G18</f>
        <v>5833</v>
      </c>
      <c r="H19" s="31">
        <f>'③ Exploitation CR'!H18</f>
        <v>5833</v>
      </c>
      <c r="I19" s="31">
        <f>'③ Exploitation CR'!I18</f>
        <v>5833</v>
      </c>
      <c r="J19" s="31">
        <f>'③ Exploitation CR'!J18</f>
        <v>5833</v>
      </c>
      <c r="K19" s="31">
        <f>'③ Exploitation CR'!K18</f>
        <v>5833</v>
      </c>
      <c r="L19" s="31">
        <f>'③ Exploitation CR'!L18</f>
        <v>5833</v>
      </c>
      <c r="M19" s="31">
        <f>'③ Exploitation CR'!M18</f>
        <v>5833</v>
      </c>
      <c r="N19" s="31">
        <f>'③ Exploitation CR'!N18</f>
        <v>5833</v>
      </c>
      <c r="O19" s="32">
        <f t="shared" si="3"/>
        <v>69996</v>
      </c>
      <c r="P19" s="2"/>
      <c r="Q19" s="31">
        <f>'③ Exploitation CR'!Q18</f>
        <v>5950</v>
      </c>
      <c r="R19" s="31">
        <f>'③ Exploitation CR'!R18</f>
        <v>5950</v>
      </c>
      <c r="S19" s="31">
        <f>'③ Exploitation CR'!S18</f>
        <v>5950</v>
      </c>
      <c r="T19" s="31">
        <f>'③ Exploitation CR'!T18</f>
        <v>5950</v>
      </c>
      <c r="U19" s="31">
        <f>'③ Exploitation CR'!U18</f>
        <v>5950</v>
      </c>
      <c r="V19" s="31">
        <f>'③ Exploitation CR'!V18</f>
        <v>5950</v>
      </c>
      <c r="W19" s="31">
        <f>'③ Exploitation CR'!W18</f>
        <v>5950</v>
      </c>
      <c r="X19" s="31">
        <f>'③ Exploitation CR'!X18</f>
        <v>5950</v>
      </c>
      <c r="Y19" s="31">
        <f>'③ Exploitation CR'!Y18</f>
        <v>5950</v>
      </c>
      <c r="Z19" s="31">
        <f>'③ Exploitation CR'!Z18</f>
        <v>5950</v>
      </c>
      <c r="AA19" s="31">
        <f>'③ Exploitation CR'!AA18</f>
        <v>5950</v>
      </c>
      <c r="AB19" s="31">
        <f>'③ Exploitation CR'!AB18</f>
        <v>5950</v>
      </c>
      <c r="AC19" s="32">
        <f t="shared" si="4"/>
        <v>71400</v>
      </c>
      <c r="AD19" s="2"/>
      <c r="AE19" s="31">
        <f>'③ Exploitation CR'!AE18</f>
        <v>6069</v>
      </c>
      <c r="AF19" s="31">
        <f>'③ Exploitation CR'!AF18</f>
        <v>6069</v>
      </c>
      <c r="AG19" s="31">
        <f>'③ Exploitation CR'!AG18</f>
        <v>6069</v>
      </c>
      <c r="AH19" s="31">
        <f>'③ Exploitation CR'!AH18</f>
        <v>6069</v>
      </c>
      <c r="AI19" s="31">
        <f>'③ Exploitation CR'!AI18</f>
        <v>6069</v>
      </c>
      <c r="AJ19" s="31">
        <f>'③ Exploitation CR'!AJ18</f>
        <v>6069</v>
      </c>
      <c r="AK19" s="31">
        <f>'③ Exploitation CR'!AK18</f>
        <v>6069</v>
      </c>
      <c r="AL19" s="31">
        <f>'③ Exploitation CR'!AL18</f>
        <v>6069</v>
      </c>
      <c r="AM19" s="31">
        <f>'③ Exploitation CR'!AM18</f>
        <v>6069</v>
      </c>
      <c r="AN19" s="31">
        <f>'③ Exploitation CR'!AN18</f>
        <v>6069</v>
      </c>
      <c r="AO19" s="31">
        <f>'③ Exploitation CR'!AO18</f>
        <v>6069</v>
      </c>
      <c r="AP19" s="31">
        <f>'③ Exploitation CR'!AP18</f>
        <v>6069</v>
      </c>
      <c r="AQ19" s="32">
        <f t="shared" si="5"/>
        <v>72828</v>
      </c>
      <c r="AR19" s="2"/>
    </row>
    <row r="20" spans="1:44" ht="15.75" customHeight="1" x14ac:dyDescent="0.2">
      <c r="A20" s="30" t="s">
        <v>132</v>
      </c>
      <c r="B20" s="2"/>
      <c r="C20" s="31">
        <f>'③ Exploitation CR'!C19</f>
        <v>4167</v>
      </c>
      <c r="D20" s="31">
        <f>'③ Exploitation CR'!D19</f>
        <v>4167</v>
      </c>
      <c r="E20" s="31">
        <f>'③ Exploitation CR'!E19</f>
        <v>4167</v>
      </c>
      <c r="F20" s="31">
        <f>'③ Exploitation CR'!F19</f>
        <v>4167</v>
      </c>
      <c r="G20" s="31">
        <f>'③ Exploitation CR'!G19</f>
        <v>4167</v>
      </c>
      <c r="H20" s="31">
        <f>'③ Exploitation CR'!H19</f>
        <v>4167</v>
      </c>
      <c r="I20" s="31">
        <f>'③ Exploitation CR'!I19</f>
        <v>4167</v>
      </c>
      <c r="J20" s="31">
        <f>'③ Exploitation CR'!J19</f>
        <v>4167</v>
      </c>
      <c r="K20" s="31">
        <f>'③ Exploitation CR'!K19</f>
        <v>4167</v>
      </c>
      <c r="L20" s="31">
        <f>'③ Exploitation CR'!L19</f>
        <v>4167</v>
      </c>
      <c r="M20" s="31">
        <f>'③ Exploitation CR'!M19</f>
        <v>4167</v>
      </c>
      <c r="N20" s="31">
        <f>'③ Exploitation CR'!N19</f>
        <v>4167</v>
      </c>
      <c r="O20" s="32">
        <f t="shared" si="3"/>
        <v>50004</v>
      </c>
      <c r="P20" s="2"/>
      <c r="Q20" s="31">
        <f>'③ Exploitation CR'!Q19</f>
        <v>4250</v>
      </c>
      <c r="R20" s="31">
        <f>'③ Exploitation CR'!R19</f>
        <v>4250</v>
      </c>
      <c r="S20" s="31">
        <f>'③ Exploitation CR'!S19</f>
        <v>4250</v>
      </c>
      <c r="T20" s="31">
        <f>'③ Exploitation CR'!T19</f>
        <v>4250</v>
      </c>
      <c r="U20" s="31">
        <f>'③ Exploitation CR'!U19</f>
        <v>4250</v>
      </c>
      <c r="V20" s="31">
        <f>'③ Exploitation CR'!V19</f>
        <v>4250</v>
      </c>
      <c r="W20" s="31">
        <f>'③ Exploitation CR'!W19</f>
        <v>4250</v>
      </c>
      <c r="X20" s="31">
        <f>'③ Exploitation CR'!X19</f>
        <v>4250</v>
      </c>
      <c r="Y20" s="31">
        <f>'③ Exploitation CR'!Y19</f>
        <v>4250</v>
      </c>
      <c r="Z20" s="31">
        <f>'③ Exploitation CR'!Z19</f>
        <v>4250</v>
      </c>
      <c r="AA20" s="31">
        <f>'③ Exploitation CR'!AA19</f>
        <v>4250</v>
      </c>
      <c r="AB20" s="31">
        <f>'③ Exploitation CR'!AB19</f>
        <v>4250</v>
      </c>
      <c r="AC20" s="32">
        <f t="shared" si="4"/>
        <v>51000</v>
      </c>
      <c r="AD20" s="2"/>
      <c r="AE20" s="31">
        <f>'③ Exploitation CR'!AE19</f>
        <v>4335</v>
      </c>
      <c r="AF20" s="31">
        <f>'③ Exploitation CR'!AF19</f>
        <v>4335</v>
      </c>
      <c r="AG20" s="31">
        <f>'③ Exploitation CR'!AG19</f>
        <v>4335</v>
      </c>
      <c r="AH20" s="31">
        <f>'③ Exploitation CR'!AH19</f>
        <v>4335</v>
      </c>
      <c r="AI20" s="31">
        <f>'③ Exploitation CR'!AI19</f>
        <v>4335</v>
      </c>
      <c r="AJ20" s="31">
        <f>'③ Exploitation CR'!AJ19</f>
        <v>4335</v>
      </c>
      <c r="AK20" s="31">
        <f>'③ Exploitation CR'!AK19</f>
        <v>4335</v>
      </c>
      <c r="AL20" s="31">
        <f>'③ Exploitation CR'!AL19</f>
        <v>4335</v>
      </c>
      <c r="AM20" s="31">
        <f>'③ Exploitation CR'!AM19</f>
        <v>4335</v>
      </c>
      <c r="AN20" s="31">
        <f>'③ Exploitation CR'!AN19</f>
        <v>4335</v>
      </c>
      <c r="AO20" s="31">
        <f>'③ Exploitation CR'!AO19</f>
        <v>4335</v>
      </c>
      <c r="AP20" s="31">
        <f>'③ Exploitation CR'!AP19</f>
        <v>4335</v>
      </c>
      <c r="AQ20" s="32">
        <f t="shared" si="5"/>
        <v>52020</v>
      </c>
      <c r="AR20" s="2"/>
    </row>
    <row r="21" spans="1:44" ht="15.75" customHeight="1" x14ac:dyDescent="0.2">
      <c r="A21" s="30" t="s">
        <v>133</v>
      </c>
      <c r="B21" s="2"/>
      <c r="C21" s="31">
        <f>'③ Exploitation CR'!C20</f>
        <v>3750</v>
      </c>
      <c r="D21" s="31">
        <f>'③ Exploitation CR'!D20</f>
        <v>3750</v>
      </c>
      <c r="E21" s="31">
        <f>'③ Exploitation CR'!E20</f>
        <v>3750</v>
      </c>
      <c r="F21" s="31">
        <f>'③ Exploitation CR'!F20</f>
        <v>3750</v>
      </c>
      <c r="G21" s="31">
        <f>'③ Exploitation CR'!G20</f>
        <v>3750</v>
      </c>
      <c r="H21" s="31">
        <f>'③ Exploitation CR'!H20</f>
        <v>3750</v>
      </c>
      <c r="I21" s="31">
        <f>'③ Exploitation CR'!I20</f>
        <v>3750</v>
      </c>
      <c r="J21" s="31">
        <f>'③ Exploitation CR'!J20</f>
        <v>3750</v>
      </c>
      <c r="K21" s="31">
        <f>'③ Exploitation CR'!K20</f>
        <v>3750</v>
      </c>
      <c r="L21" s="31">
        <f>'③ Exploitation CR'!L20</f>
        <v>3750</v>
      </c>
      <c r="M21" s="31">
        <f>'③ Exploitation CR'!M20</f>
        <v>3750</v>
      </c>
      <c r="N21" s="31">
        <f>'③ Exploitation CR'!N20</f>
        <v>3750</v>
      </c>
      <c r="O21" s="32">
        <f t="shared" si="3"/>
        <v>45000</v>
      </c>
      <c r="P21" s="2"/>
      <c r="Q21" s="31">
        <f>'③ Exploitation CR'!Q20</f>
        <v>3825</v>
      </c>
      <c r="R21" s="31">
        <f>'③ Exploitation CR'!R20</f>
        <v>3825</v>
      </c>
      <c r="S21" s="31">
        <f>'③ Exploitation CR'!S20</f>
        <v>3825</v>
      </c>
      <c r="T21" s="31">
        <f>'③ Exploitation CR'!T20</f>
        <v>3825</v>
      </c>
      <c r="U21" s="31">
        <f>'③ Exploitation CR'!U20</f>
        <v>3825</v>
      </c>
      <c r="V21" s="31">
        <f>'③ Exploitation CR'!V20</f>
        <v>3825</v>
      </c>
      <c r="W21" s="31">
        <f>'③ Exploitation CR'!W20</f>
        <v>3825</v>
      </c>
      <c r="X21" s="31">
        <f>'③ Exploitation CR'!X20</f>
        <v>3825</v>
      </c>
      <c r="Y21" s="31">
        <f>'③ Exploitation CR'!Y20</f>
        <v>3825</v>
      </c>
      <c r="Z21" s="31">
        <f>'③ Exploitation CR'!Z20</f>
        <v>3825</v>
      </c>
      <c r="AA21" s="31">
        <f>'③ Exploitation CR'!AA20</f>
        <v>3825</v>
      </c>
      <c r="AB21" s="31">
        <f>'③ Exploitation CR'!AB20</f>
        <v>3825</v>
      </c>
      <c r="AC21" s="32">
        <f t="shared" si="4"/>
        <v>45900</v>
      </c>
      <c r="AD21" s="2"/>
      <c r="AE21" s="31">
        <f>'③ Exploitation CR'!AE20</f>
        <v>3902</v>
      </c>
      <c r="AF21" s="31">
        <f>'③ Exploitation CR'!AF20</f>
        <v>3902</v>
      </c>
      <c r="AG21" s="31">
        <f>'③ Exploitation CR'!AG20</f>
        <v>3902</v>
      </c>
      <c r="AH21" s="31">
        <f>'③ Exploitation CR'!AH20</f>
        <v>3902</v>
      </c>
      <c r="AI21" s="31">
        <f>'③ Exploitation CR'!AI20</f>
        <v>3902</v>
      </c>
      <c r="AJ21" s="31">
        <f>'③ Exploitation CR'!AJ20</f>
        <v>3902</v>
      </c>
      <c r="AK21" s="31">
        <f>'③ Exploitation CR'!AK20</f>
        <v>3902</v>
      </c>
      <c r="AL21" s="31">
        <f>'③ Exploitation CR'!AL20</f>
        <v>3902</v>
      </c>
      <c r="AM21" s="31">
        <f>'③ Exploitation CR'!AM20</f>
        <v>3902</v>
      </c>
      <c r="AN21" s="31">
        <f>'③ Exploitation CR'!AN20</f>
        <v>3902</v>
      </c>
      <c r="AO21" s="31">
        <f>'③ Exploitation CR'!AO20</f>
        <v>3902</v>
      </c>
      <c r="AP21" s="31">
        <f>'③ Exploitation CR'!AP20</f>
        <v>3902</v>
      </c>
      <c r="AQ21" s="32">
        <f t="shared" si="5"/>
        <v>46824</v>
      </c>
      <c r="AR21" s="2"/>
    </row>
    <row r="22" spans="1:44" ht="15.75" customHeight="1" x14ac:dyDescent="0.2">
      <c r="A22" s="30" t="s">
        <v>134</v>
      </c>
      <c r="B22" s="2"/>
      <c r="C22" s="31">
        <f>'③ Exploitation CR'!C21</f>
        <v>5417</v>
      </c>
      <c r="D22" s="31">
        <f>'③ Exploitation CR'!D21</f>
        <v>5417</v>
      </c>
      <c r="E22" s="31">
        <f>'③ Exploitation CR'!E21</f>
        <v>5417</v>
      </c>
      <c r="F22" s="31">
        <f>'③ Exploitation CR'!F21</f>
        <v>5417</v>
      </c>
      <c r="G22" s="31">
        <f>'③ Exploitation CR'!G21</f>
        <v>5417</v>
      </c>
      <c r="H22" s="31">
        <f>'③ Exploitation CR'!H21</f>
        <v>5417</v>
      </c>
      <c r="I22" s="31">
        <f>'③ Exploitation CR'!I21</f>
        <v>5417</v>
      </c>
      <c r="J22" s="31">
        <f>'③ Exploitation CR'!J21</f>
        <v>5417</v>
      </c>
      <c r="K22" s="31">
        <f>'③ Exploitation CR'!K21</f>
        <v>5417</v>
      </c>
      <c r="L22" s="31">
        <f>'③ Exploitation CR'!L21</f>
        <v>5417</v>
      </c>
      <c r="M22" s="31">
        <f>'③ Exploitation CR'!M21</f>
        <v>5417</v>
      </c>
      <c r="N22" s="31">
        <f>'③ Exploitation CR'!N21</f>
        <v>5417</v>
      </c>
      <c r="O22" s="32">
        <f t="shared" si="3"/>
        <v>65004</v>
      </c>
      <c r="P22" s="2"/>
      <c r="Q22" s="31">
        <f>'③ Exploitation CR'!Q21</f>
        <v>5417</v>
      </c>
      <c r="R22" s="31">
        <f>'③ Exploitation CR'!R21</f>
        <v>5417</v>
      </c>
      <c r="S22" s="31">
        <f>'③ Exploitation CR'!S21</f>
        <v>5417</v>
      </c>
      <c r="T22" s="31">
        <f>'③ Exploitation CR'!T21</f>
        <v>5417</v>
      </c>
      <c r="U22" s="31">
        <f>'③ Exploitation CR'!U21</f>
        <v>5417</v>
      </c>
      <c r="V22" s="31">
        <f>'③ Exploitation CR'!V21</f>
        <v>5417</v>
      </c>
      <c r="W22" s="31">
        <f>'③ Exploitation CR'!W21</f>
        <v>5417</v>
      </c>
      <c r="X22" s="31">
        <f>'③ Exploitation CR'!X21</f>
        <v>5417</v>
      </c>
      <c r="Y22" s="31">
        <f>'③ Exploitation CR'!Y21</f>
        <v>5417</v>
      </c>
      <c r="Z22" s="31">
        <f>'③ Exploitation CR'!Z21</f>
        <v>5417</v>
      </c>
      <c r="AA22" s="31">
        <f>'③ Exploitation CR'!AA21</f>
        <v>5417</v>
      </c>
      <c r="AB22" s="31">
        <f>'③ Exploitation CR'!AB21</f>
        <v>5417</v>
      </c>
      <c r="AC22" s="32">
        <f t="shared" si="4"/>
        <v>65004</v>
      </c>
      <c r="AD22" s="2"/>
      <c r="AE22" s="31">
        <f>'③ Exploitation CR'!AE21</f>
        <v>5417</v>
      </c>
      <c r="AF22" s="31">
        <f>'③ Exploitation CR'!AF21</f>
        <v>5417</v>
      </c>
      <c r="AG22" s="31">
        <f>'③ Exploitation CR'!AG21</f>
        <v>5417</v>
      </c>
      <c r="AH22" s="31">
        <f>'③ Exploitation CR'!AH21</f>
        <v>5417</v>
      </c>
      <c r="AI22" s="31">
        <f>'③ Exploitation CR'!AI21</f>
        <v>5417</v>
      </c>
      <c r="AJ22" s="31">
        <f>'③ Exploitation CR'!AJ21</f>
        <v>5417</v>
      </c>
      <c r="AK22" s="31">
        <f>'③ Exploitation CR'!AK21</f>
        <v>5417</v>
      </c>
      <c r="AL22" s="31">
        <f>'③ Exploitation CR'!AL21</f>
        <v>5417</v>
      </c>
      <c r="AM22" s="31">
        <f>'③ Exploitation CR'!AM21</f>
        <v>5417</v>
      </c>
      <c r="AN22" s="31">
        <f>'③ Exploitation CR'!AN21</f>
        <v>5417</v>
      </c>
      <c r="AO22" s="31">
        <f>'③ Exploitation CR'!AO21</f>
        <v>5417</v>
      </c>
      <c r="AP22" s="31">
        <f>'③ Exploitation CR'!AP21</f>
        <v>5417</v>
      </c>
      <c r="AQ22" s="32">
        <f t="shared" si="5"/>
        <v>65004</v>
      </c>
      <c r="AR22" s="2"/>
    </row>
    <row r="23" spans="1:44" ht="15.75" customHeight="1" x14ac:dyDescent="0.2">
      <c r="A23" s="30" t="s">
        <v>157</v>
      </c>
      <c r="B23" s="2"/>
      <c r="C23" s="31">
        <f>'③ Exploitation CR'!C22</f>
        <v>8333</v>
      </c>
      <c r="D23" s="31">
        <f>'③ Exploitation CR'!D22</f>
        <v>8333</v>
      </c>
      <c r="E23" s="31">
        <f>'③ Exploitation CR'!E22</f>
        <v>8333</v>
      </c>
      <c r="F23" s="31">
        <f>'③ Exploitation CR'!F22</f>
        <v>8333</v>
      </c>
      <c r="G23" s="31">
        <f>'③ Exploitation CR'!G22</f>
        <v>8333</v>
      </c>
      <c r="H23" s="31">
        <f>'③ Exploitation CR'!H22</f>
        <v>8333</v>
      </c>
      <c r="I23" s="31">
        <f>'③ Exploitation CR'!I22</f>
        <v>8333</v>
      </c>
      <c r="J23" s="31">
        <f>'③ Exploitation CR'!J22</f>
        <v>8333</v>
      </c>
      <c r="K23" s="31">
        <f>'③ Exploitation CR'!K22</f>
        <v>8333</v>
      </c>
      <c r="L23" s="31">
        <f>'③ Exploitation CR'!L22</f>
        <v>8333</v>
      </c>
      <c r="M23" s="31">
        <f>'③ Exploitation CR'!M22</f>
        <v>8333</v>
      </c>
      <c r="N23" s="31">
        <f>'③ Exploitation CR'!N22</f>
        <v>8333</v>
      </c>
      <c r="O23" s="32">
        <f t="shared" si="3"/>
        <v>99996</v>
      </c>
      <c r="P23" s="2"/>
      <c r="Q23" s="31">
        <f>'③ Exploitation CR'!Q22</f>
        <v>8500</v>
      </c>
      <c r="R23" s="31">
        <f>'③ Exploitation CR'!R22</f>
        <v>8500</v>
      </c>
      <c r="S23" s="31">
        <f>'③ Exploitation CR'!S22</f>
        <v>8500</v>
      </c>
      <c r="T23" s="31">
        <f>'③ Exploitation CR'!T22</f>
        <v>8500</v>
      </c>
      <c r="U23" s="31">
        <f>'③ Exploitation CR'!U22</f>
        <v>8500</v>
      </c>
      <c r="V23" s="31">
        <f>'③ Exploitation CR'!V22</f>
        <v>8500</v>
      </c>
      <c r="W23" s="31">
        <f>'③ Exploitation CR'!W22</f>
        <v>8500</v>
      </c>
      <c r="X23" s="31">
        <f>'③ Exploitation CR'!X22</f>
        <v>8500</v>
      </c>
      <c r="Y23" s="31">
        <f>'③ Exploitation CR'!Y22</f>
        <v>8500</v>
      </c>
      <c r="Z23" s="31">
        <f>'③ Exploitation CR'!Z22</f>
        <v>8500</v>
      </c>
      <c r="AA23" s="31">
        <f>'③ Exploitation CR'!AA22</f>
        <v>8500</v>
      </c>
      <c r="AB23" s="31">
        <f>'③ Exploitation CR'!AB22</f>
        <v>8500</v>
      </c>
      <c r="AC23" s="32">
        <f t="shared" si="4"/>
        <v>102000</v>
      </c>
      <c r="AD23" s="2"/>
      <c r="AE23" s="31">
        <f>'③ Exploitation CR'!AE22</f>
        <v>8670</v>
      </c>
      <c r="AF23" s="31">
        <f>'③ Exploitation CR'!AF22</f>
        <v>8670</v>
      </c>
      <c r="AG23" s="31">
        <f>'③ Exploitation CR'!AG22</f>
        <v>8670</v>
      </c>
      <c r="AH23" s="31">
        <f>'③ Exploitation CR'!AH22</f>
        <v>8670</v>
      </c>
      <c r="AI23" s="31">
        <f>'③ Exploitation CR'!AI22</f>
        <v>8670</v>
      </c>
      <c r="AJ23" s="31">
        <f>'③ Exploitation CR'!AJ22</f>
        <v>8670</v>
      </c>
      <c r="AK23" s="31">
        <f>'③ Exploitation CR'!AK22</f>
        <v>8670</v>
      </c>
      <c r="AL23" s="31">
        <f>'③ Exploitation CR'!AL22</f>
        <v>8670</v>
      </c>
      <c r="AM23" s="31">
        <f>'③ Exploitation CR'!AM22</f>
        <v>8670</v>
      </c>
      <c r="AN23" s="31">
        <f>'③ Exploitation CR'!AN22</f>
        <v>8670</v>
      </c>
      <c r="AO23" s="31">
        <f>'③ Exploitation CR'!AO22</f>
        <v>8670</v>
      </c>
      <c r="AP23" s="31">
        <f>'③ Exploitation CR'!AP22</f>
        <v>8670</v>
      </c>
      <c r="AQ23" s="32">
        <f t="shared" si="5"/>
        <v>104040</v>
      </c>
      <c r="AR23" s="2"/>
    </row>
    <row r="24" spans="1:44" ht="15.75" customHeight="1" x14ac:dyDescent="0.2">
      <c r="A24" s="30" t="s">
        <v>158</v>
      </c>
      <c r="B24" s="2"/>
      <c r="C24" s="31">
        <f>'③ Exploitation CR'!C23</f>
        <v>10000</v>
      </c>
      <c r="D24" s="31">
        <f>'③ Exploitation CR'!D23</f>
        <v>10000</v>
      </c>
      <c r="E24" s="31">
        <f>'③ Exploitation CR'!E23</f>
        <v>10000</v>
      </c>
      <c r="F24" s="31">
        <f>'③ Exploitation CR'!F23</f>
        <v>10000</v>
      </c>
      <c r="G24" s="31">
        <f>'③ Exploitation CR'!G23</f>
        <v>10000</v>
      </c>
      <c r="H24" s="31">
        <f>'③ Exploitation CR'!H23</f>
        <v>10000</v>
      </c>
      <c r="I24" s="31">
        <f>'③ Exploitation CR'!I23</f>
        <v>10000</v>
      </c>
      <c r="J24" s="31">
        <f>'③ Exploitation CR'!J23</f>
        <v>10000</v>
      </c>
      <c r="K24" s="31">
        <f>'③ Exploitation CR'!K23</f>
        <v>10000</v>
      </c>
      <c r="L24" s="31">
        <f>'③ Exploitation CR'!L23</f>
        <v>10000</v>
      </c>
      <c r="M24" s="31">
        <f>'③ Exploitation CR'!M23</f>
        <v>10000</v>
      </c>
      <c r="N24" s="31">
        <f>'③ Exploitation CR'!N23</f>
        <v>10000</v>
      </c>
      <c r="O24" s="32">
        <f t="shared" si="3"/>
        <v>120000</v>
      </c>
      <c r="P24" s="2"/>
      <c r="Q24" s="31">
        <f>'③ Exploitation CR'!Q23</f>
        <v>10000</v>
      </c>
      <c r="R24" s="31">
        <f>'③ Exploitation CR'!R23</f>
        <v>10000</v>
      </c>
      <c r="S24" s="31">
        <f>'③ Exploitation CR'!S23</f>
        <v>10000</v>
      </c>
      <c r="T24" s="31">
        <f>'③ Exploitation CR'!T23</f>
        <v>10000</v>
      </c>
      <c r="U24" s="31">
        <f>'③ Exploitation CR'!U23</f>
        <v>10000</v>
      </c>
      <c r="V24" s="31">
        <f>'③ Exploitation CR'!V23</f>
        <v>10000</v>
      </c>
      <c r="W24" s="31">
        <f>'③ Exploitation CR'!W23</f>
        <v>10000</v>
      </c>
      <c r="X24" s="31">
        <f>'③ Exploitation CR'!X23</f>
        <v>10000</v>
      </c>
      <c r="Y24" s="31">
        <f>'③ Exploitation CR'!Y23</f>
        <v>10000</v>
      </c>
      <c r="Z24" s="31">
        <f>'③ Exploitation CR'!Z23</f>
        <v>10000</v>
      </c>
      <c r="AA24" s="31">
        <f>'③ Exploitation CR'!AA23</f>
        <v>10000</v>
      </c>
      <c r="AB24" s="31">
        <f>'③ Exploitation CR'!AB23</f>
        <v>10000</v>
      </c>
      <c r="AC24" s="32">
        <f t="shared" si="4"/>
        <v>120000</v>
      </c>
      <c r="AD24" s="2"/>
      <c r="AE24" s="31">
        <f>'③ Exploitation CR'!AE23</f>
        <v>10000</v>
      </c>
      <c r="AF24" s="31">
        <f>'③ Exploitation CR'!AF23</f>
        <v>10000</v>
      </c>
      <c r="AG24" s="31">
        <f>'③ Exploitation CR'!AG23</f>
        <v>10000</v>
      </c>
      <c r="AH24" s="31">
        <f>'③ Exploitation CR'!AH23</f>
        <v>10000</v>
      </c>
      <c r="AI24" s="31">
        <f>'③ Exploitation CR'!AI23</f>
        <v>10000</v>
      </c>
      <c r="AJ24" s="31">
        <f>'③ Exploitation CR'!AJ23</f>
        <v>10000</v>
      </c>
      <c r="AK24" s="31">
        <f>'③ Exploitation CR'!AK23</f>
        <v>10000</v>
      </c>
      <c r="AL24" s="31">
        <f>'③ Exploitation CR'!AL23</f>
        <v>10000</v>
      </c>
      <c r="AM24" s="31">
        <f>'③ Exploitation CR'!AM23</f>
        <v>10000</v>
      </c>
      <c r="AN24" s="31">
        <f>'③ Exploitation CR'!AN23</f>
        <v>10000</v>
      </c>
      <c r="AO24" s="31">
        <f>'③ Exploitation CR'!AO23</f>
        <v>10000</v>
      </c>
      <c r="AP24" s="31">
        <f>'③ Exploitation CR'!AP23</f>
        <v>10000</v>
      </c>
      <c r="AQ24" s="32">
        <f t="shared" si="5"/>
        <v>120000</v>
      </c>
      <c r="AR24" s="2"/>
    </row>
    <row r="25" spans="1:44" ht="15.75" customHeight="1" x14ac:dyDescent="0.2">
      <c r="A25" s="30" t="s">
        <v>159</v>
      </c>
      <c r="B25" s="2"/>
      <c r="C25" s="31">
        <f>'③ Exploitation CR'!C26+'③ Exploitation CR'!C27+'③ Exploitation CR'!C28+'③ Exploitation CR'!C29</f>
        <v>13970</v>
      </c>
      <c r="D25" s="31">
        <f>'③ Exploitation CR'!D26+'③ Exploitation CR'!D27+'③ Exploitation CR'!D28+'③ Exploitation CR'!D29</f>
        <v>13970</v>
      </c>
      <c r="E25" s="31">
        <f>'③ Exploitation CR'!E26+'③ Exploitation CR'!E27+'③ Exploitation CR'!E28+'③ Exploitation CR'!E29</f>
        <v>20955</v>
      </c>
      <c r="F25" s="31">
        <f>'③ Exploitation CR'!F26+'③ Exploitation CR'!F27+'③ Exploitation CR'!F28+'③ Exploitation CR'!F29</f>
        <v>20955</v>
      </c>
      <c r="G25" s="31">
        <f>'③ Exploitation CR'!G26+'③ Exploitation CR'!G27+'③ Exploitation CR'!G28+'③ Exploitation CR'!G29</f>
        <v>38100</v>
      </c>
      <c r="H25" s="31">
        <f>'③ Exploitation CR'!H26+'③ Exploitation CR'!H27+'③ Exploitation CR'!H28+'③ Exploitation CR'!H29</f>
        <v>38100</v>
      </c>
      <c r="I25" s="31">
        <f>'③ Exploitation CR'!I26+'③ Exploitation CR'!I27+'③ Exploitation CR'!I28+'③ Exploitation CR'!I29</f>
        <v>38100</v>
      </c>
      <c r="J25" s="31">
        <f>'③ Exploitation CR'!J26+'③ Exploitation CR'!J27+'③ Exploitation CR'!J28+'③ Exploitation CR'!J29</f>
        <v>38100</v>
      </c>
      <c r="K25" s="31">
        <f>'③ Exploitation CR'!K26+'③ Exploitation CR'!K27+'③ Exploitation CR'!K28+'③ Exploitation CR'!K29</f>
        <v>38100</v>
      </c>
      <c r="L25" s="31">
        <f>'③ Exploitation CR'!L26+'③ Exploitation CR'!L27+'③ Exploitation CR'!L28+'③ Exploitation CR'!L29</f>
        <v>38100</v>
      </c>
      <c r="M25" s="31">
        <f>'③ Exploitation CR'!M26+'③ Exploitation CR'!M27+'③ Exploitation CR'!M28+'③ Exploitation CR'!M29</f>
        <v>38100</v>
      </c>
      <c r="N25" s="31">
        <f>'③ Exploitation CR'!N26+'③ Exploitation CR'!N27+'③ Exploitation CR'!N28+'③ Exploitation CR'!N29</f>
        <v>38100</v>
      </c>
      <c r="O25" s="32">
        <f t="shared" si="3"/>
        <v>374650</v>
      </c>
      <c r="P25" s="2"/>
      <c r="Q25" s="31">
        <f>'③ Exploitation CR'!Q26+'③ Exploitation CR'!Q27+'③ Exploitation CR'!Q28+'③ Exploitation CR'!Q29</f>
        <v>38862</v>
      </c>
      <c r="R25" s="31">
        <f>'③ Exploitation CR'!R26+'③ Exploitation CR'!R27+'③ Exploitation CR'!R28+'③ Exploitation CR'!R29</f>
        <v>38862</v>
      </c>
      <c r="S25" s="31">
        <f>'③ Exploitation CR'!S26+'③ Exploitation CR'!S27+'③ Exploitation CR'!S28+'③ Exploitation CR'!S29</f>
        <v>38862</v>
      </c>
      <c r="T25" s="31">
        <f>'③ Exploitation CR'!T26+'③ Exploitation CR'!T27+'③ Exploitation CR'!T28+'③ Exploitation CR'!T29</f>
        <v>38862</v>
      </c>
      <c r="U25" s="31">
        <f>'③ Exploitation CR'!U26+'③ Exploitation CR'!U27+'③ Exploitation CR'!U28+'③ Exploitation CR'!U29</f>
        <v>38862</v>
      </c>
      <c r="V25" s="31">
        <f>'③ Exploitation CR'!V26+'③ Exploitation CR'!V27+'③ Exploitation CR'!V28+'③ Exploitation CR'!V29</f>
        <v>38862</v>
      </c>
      <c r="W25" s="31">
        <f>'③ Exploitation CR'!W26+'③ Exploitation CR'!W27+'③ Exploitation CR'!W28+'③ Exploitation CR'!W29</f>
        <v>38862</v>
      </c>
      <c r="X25" s="31">
        <f>'③ Exploitation CR'!X26+'③ Exploitation CR'!X27+'③ Exploitation CR'!X28+'③ Exploitation CR'!X29</f>
        <v>38862</v>
      </c>
      <c r="Y25" s="31">
        <f>'③ Exploitation CR'!Y26+'③ Exploitation CR'!Y27+'③ Exploitation CR'!Y28+'③ Exploitation CR'!Y29</f>
        <v>38862</v>
      </c>
      <c r="Z25" s="31">
        <f>'③ Exploitation CR'!Z26+'③ Exploitation CR'!Z27+'③ Exploitation CR'!Z28+'③ Exploitation CR'!Z29</f>
        <v>38862</v>
      </c>
      <c r="AA25" s="31">
        <f>'③ Exploitation CR'!AA26+'③ Exploitation CR'!AA27+'③ Exploitation CR'!AA28+'③ Exploitation CR'!AA29</f>
        <v>38862</v>
      </c>
      <c r="AB25" s="31">
        <f>'③ Exploitation CR'!AB26+'③ Exploitation CR'!AB27+'③ Exploitation CR'!AB28+'③ Exploitation CR'!AB29</f>
        <v>38862</v>
      </c>
      <c r="AC25" s="32">
        <f t="shared" si="4"/>
        <v>466344</v>
      </c>
      <c r="AD25" s="2"/>
      <c r="AE25" s="31">
        <f>'③ Exploitation CR'!AE26+'③ Exploitation CR'!AE27+'③ Exploitation CR'!AE28+'③ Exploitation CR'!AE29</f>
        <v>39639</v>
      </c>
      <c r="AF25" s="31">
        <f>'③ Exploitation CR'!AF26+'③ Exploitation CR'!AF27+'③ Exploitation CR'!AF28+'③ Exploitation CR'!AF29</f>
        <v>39639</v>
      </c>
      <c r="AG25" s="31">
        <f>'③ Exploitation CR'!AG26+'③ Exploitation CR'!AG27+'③ Exploitation CR'!AG28+'③ Exploitation CR'!AG29</f>
        <v>39639</v>
      </c>
      <c r="AH25" s="31">
        <f>'③ Exploitation CR'!AH26+'③ Exploitation CR'!AH27+'③ Exploitation CR'!AH28+'③ Exploitation CR'!AH29</f>
        <v>39639</v>
      </c>
      <c r="AI25" s="31">
        <f>'③ Exploitation CR'!AI26+'③ Exploitation CR'!AI27+'③ Exploitation CR'!AI28+'③ Exploitation CR'!AI29</f>
        <v>39639</v>
      </c>
      <c r="AJ25" s="31">
        <f>'③ Exploitation CR'!AJ26+'③ Exploitation CR'!AJ27+'③ Exploitation CR'!AJ28+'③ Exploitation CR'!AJ29</f>
        <v>39639</v>
      </c>
      <c r="AK25" s="31">
        <f>'③ Exploitation CR'!AK26+'③ Exploitation CR'!AK27+'③ Exploitation CR'!AK28+'③ Exploitation CR'!AK29</f>
        <v>39639</v>
      </c>
      <c r="AL25" s="31">
        <f>'③ Exploitation CR'!AL26+'③ Exploitation CR'!AL27+'③ Exploitation CR'!AL28+'③ Exploitation CR'!AL29</f>
        <v>39639</v>
      </c>
      <c r="AM25" s="31">
        <f>'③ Exploitation CR'!AM26+'③ Exploitation CR'!AM27+'③ Exploitation CR'!AM28+'③ Exploitation CR'!AM29</f>
        <v>39639</v>
      </c>
      <c r="AN25" s="31">
        <f>'③ Exploitation CR'!AN26+'③ Exploitation CR'!AN27+'③ Exploitation CR'!AN28+'③ Exploitation CR'!AN29</f>
        <v>39639</v>
      </c>
      <c r="AO25" s="31">
        <f>'③ Exploitation CR'!AO26+'③ Exploitation CR'!AO27+'③ Exploitation CR'!AO28+'③ Exploitation CR'!AO29</f>
        <v>39639</v>
      </c>
      <c r="AP25" s="31">
        <f>'③ Exploitation CR'!AP26+'③ Exploitation CR'!AP27+'③ Exploitation CR'!AP28+'③ Exploitation CR'!AP29</f>
        <v>39639</v>
      </c>
      <c r="AQ25" s="32">
        <f t="shared" si="5"/>
        <v>475668</v>
      </c>
      <c r="AR25" s="2"/>
    </row>
    <row r="26" spans="1:44" ht="15.75" customHeight="1" x14ac:dyDescent="0.2">
      <c r="A26" s="33" t="s">
        <v>160</v>
      </c>
      <c r="B26" s="2"/>
      <c r="C26" s="34">
        <f>C14+C15+C16+C17+C18+C19+C20+C21+C22+C23+C24+C25</f>
        <v>120301</v>
      </c>
      <c r="D26" s="34">
        <f t="shared" ref="D26:N26" si="6">D14+D15+D16+D17+D18+D19+D20+D21+D22+D23+D24+D25</f>
        <v>118141</v>
      </c>
      <c r="E26" s="34">
        <f t="shared" si="6"/>
        <v>137702</v>
      </c>
      <c r="F26" s="34">
        <f t="shared" si="6"/>
        <v>142406</v>
      </c>
      <c r="G26" s="34">
        <f t="shared" si="6"/>
        <v>163775</v>
      </c>
      <c r="H26" s="34">
        <f t="shared" si="6"/>
        <v>183311</v>
      </c>
      <c r="I26" s="34">
        <f t="shared" si="6"/>
        <v>196511</v>
      </c>
      <c r="J26" s="34">
        <f t="shared" si="6"/>
        <v>196511</v>
      </c>
      <c r="K26" s="34">
        <f t="shared" si="6"/>
        <v>194111</v>
      </c>
      <c r="L26" s="34">
        <f t="shared" si="6"/>
        <v>181631</v>
      </c>
      <c r="M26" s="34">
        <f t="shared" si="6"/>
        <v>156671</v>
      </c>
      <c r="N26" s="34">
        <f t="shared" si="6"/>
        <v>160799</v>
      </c>
      <c r="O26" s="35">
        <f t="shared" si="3"/>
        <v>1951870</v>
      </c>
      <c r="P26" s="2"/>
      <c r="Q26" s="34">
        <f t="shared" ref="Q26:AB26" si="7">Q14+Q15+Q16+Q17+Q18+Q19+Q20+Q21+Q22+Q23+Q24+Q25</f>
        <v>154349</v>
      </c>
      <c r="R26" s="34">
        <f t="shared" si="7"/>
        <v>151381</v>
      </c>
      <c r="S26" s="34">
        <f t="shared" si="7"/>
        <v>157355</v>
      </c>
      <c r="T26" s="34">
        <f t="shared" si="7"/>
        <v>162086</v>
      </c>
      <c r="U26" s="34">
        <f t="shared" si="7"/>
        <v>166371</v>
      </c>
      <c r="V26" s="34">
        <f t="shared" si="7"/>
        <v>186229</v>
      </c>
      <c r="W26" s="34">
        <f t="shared" si="7"/>
        <v>198834</v>
      </c>
      <c r="X26" s="34">
        <f t="shared" si="7"/>
        <v>198834</v>
      </c>
      <c r="Y26" s="34">
        <f t="shared" si="7"/>
        <v>196410</v>
      </c>
      <c r="Z26" s="34">
        <f t="shared" si="7"/>
        <v>184556</v>
      </c>
      <c r="AA26" s="34">
        <f t="shared" si="7"/>
        <v>159178</v>
      </c>
      <c r="AB26" s="34">
        <f t="shared" si="7"/>
        <v>163366</v>
      </c>
      <c r="AC26" s="35">
        <f t="shared" si="4"/>
        <v>2078949</v>
      </c>
      <c r="AD26" s="2"/>
      <c r="AE26" s="34">
        <f t="shared" ref="AE26:AP26" si="8">AE14+AE15+AE16+AE17+AE18+AE19+AE20+AE21+AE22+AE23+AE24+AE25</f>
        <v>157186</v>
      </c>
      <c r="AF26" s="34">
        <f t="shared" si="8"/>
        <v>154101</v>
      </c>
      <c r="AG26" s="34">
        <f t="shared" si="8"/>
        <v>160252</v>
      </c>
      <c r="AH26" s="34">
        <f t="shared" si="8"/>
        <v>165059</v>
      </c>
      <c r="AI26" s="34">
        <f t="shared" si="8"/>
        <v>169450</v>
      </c>
      <c r="AJ26" s="34">
        <f t="shared" si="8"/>
        <v>189832</v>
      </c>
      <c r="AK26" s="34">
        <f t="shared" si="8"/>
        <v>201947</v>
      </c>
      <c r="AL26" s="34">
        <f t="shared" si="8"/>
        <v>201947</v>
      </c>
      <c r="AM26" s="34">
        <f t="shared" si="8"/>
        <v>199476</v>
      </c>
      <c r="AN26" s="34">
        <f t="shared" si="8"/>
        <v>188151</v>
      </c>
      <c r="AO26" s="34">
        <f t="shared" si="8"/>
        <v>162091</v>
      </c>
      <c r="AP26" s="34">
        <f t="shared" si="8"/>
        <v>166383</v>
      </c>
      <c r="AQ26" s="35">
        <f t="shared" si="5"/>
        <v>2115875</v>
      </c>
      <c r="AR26" s="2"/>
    </row>
    <row r="27" spans="1:44" ht="18" customHeight="1" x14ac:dyDescent="0.2">
      <c r="A27" s="109" t="s">
        <v>240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2"/>
    </row>
    <row r="28" spans="1:44" ht="19.5" customHeight="1" x14ac:dyDescent="0.2">
      <c r="A28" s="44" t="s">
        <v>161</v>
      </c>
      <c r="B28" s="2"/>
      <c r="C28" s="45">
        <f>C12-C26</f>
        <v>102459</v>
      </c>
      <c r="D28" s="45">
        <f>D12-D26</f>
        <v>-7261</v>
      </c>
      <c r="E28" s="45">
        <f t="shared" ref="E28:N28" si="9">E12-E26</f>
        <v>42346</v>
      </c>
      <c r="F28" s="45">
        <f t="shared" si="9"/>
        <v>63514</v>
      </c>
      <c r="G28" s="45">
        <f t="shared" si="9"/>
        <v>65377</v>
      </c>
      <c r="H28" s="45">
        <f t="shared" si="9"/>
        <v>153289</v>
      </c>
      <c r="I28" s="45">
        <f t="shared" si="9"/>
        <v>212689</v>
      </c>
      <c r="J28" s="45">
        <f t="shared" si="9"/>
        <v>212689</v>
      </c>
      <c r="K28" s="45">
        <f t="shared" si="9"/>
        <v>201889</v>
      </c>
      <c r="L28" s="45">
        <f t="shared" si="9"/>
        <v>145729</v>
      </c>
      <c r="M28" s="45">
        <f t="shared" si="9"/>
        <v>33409</v>
      </c>
      <c r="N28" s="45">
        <f t="shared" si="9"/>
        <v>51985</v>
      </c>
      <c r="O28" s="26">
        <f>SUM(C28,D28,E28,F28,G28,H28,I28,J28,K28,L28,M28,N28)</f>
        <v>1278114</v>
      </c>
      <c r="P28" s="2"/>
      <c r="Q28" s="45">
        <f t="shared" ref="Q28:AB28" si="10">Q12-Q26</f>
        <v>52597</v>
      </c>
      <c r="R28" s="45">
        <f t="shared" si="10"/>
        <v>35539</v>
      </c>
      <c r="S28" s="45">
        <f t="shared" si="10"/>
        <v>69880</v>
      </c>
      <c r="T28" s="45">
        <f t="shared" si="10"/>
        <v>97088</v>
      </c>
      <c r="U28" s="45">
        <f t="shared" si="10"/>
        <v>121731</v>
      </c>
      <c r="V28" s="45">
        <f t="shared" si="10"/>
        <v>235911</v>
      </c>
      <c r="W28" s="45">
        <f t="shared" si="10"/>
        <v>308388</v>
      </c>
      <c r="X28" s="45">
        <f t="shared" si="10"/>
        <v>308388</v>
      </c>
      <c r="Y28" s="45">
        <f t="shared" si="10"/>
        <v>294450</v>
      </c>
      <c r="Z28" s="45">
        <f t="shared" si="10"/>
        <v>226293</v>
      </c>
      <c r="AA28" s="45">
        <f t="shared" si="10"/>
        <v>80363</v>
      </c>
      <c r="AB28" s="45">
        <f t="shared" si="10"/>
        <v>104447</v>
      </c>
      <c r="AC28" s="26">
        <f>SUM(Q28,R28,S28,T28,U28,V28,W28,X28,Y28,Z28,AA28,AB28)</f>
        <v>1935075</v>
      </c>
      <c r="AD28" s="2"/>
      <c r="AE28" s="45">
        <f t="shared" ref="AE28:AP28" si="11">AE12-AE26</f>
        <v>58040</v>
      </c>
      <c r="AF28" s="45">
        <f t="shared" si="11"/>
        <v>40296</v>
      </c>
      <c r="AG28" s="45">
        <f t="shared" si="11"/>
        <v>75668</v>
      </c>
      <c r="AH28" s="45">
        <f t="shared" si="11"/>
        <v>103304</v>
      </c>
      <c r="AI28" s="45">
        <f t="shared" si="11"/>
        <v>128552</v>
      </c>
      <c r="AJ28" s="45">
        <f t="shared" si="11"/>
        <v>245758</v>
      </c>
      <c r="AK28" s="45">
        <f t="shared" si="11"/>
        <v>315418</v>
      </c>
      <c r="AL28" s="45">
        <f t="shared" si="11"/>
        <v>315418</v>
      </c>
      <c r="AM28" s="45">
        <f t="shared" si="11"/>
        <v>301201</v>
      </c>
      <c r="AN28" s="45">
        <f t="shared" si="11"/>
        <v>236089</v>
      </c>
      <c r="AO28" s="45">
        <f t="shared" si="11"/>
        <v>86245</v>
      </c>
      <c r="AP28" s="45">
        <f t="shared" si="11"/>
        <v>110925</v>
      </c>
      <c r="AQ28" s="26">
        <f>SUM(AE28,AF28,AG28,AH28,AI28,AJ28,AK28,AL28,AM28,AN28,AO28,AP28)</f>
        <v>2016914</v>
      </c>
      <c r="AR28" s="2"/>
    </row>
    <row r="29" spans="1:44" ht="15.75" customHeight="1" x14ac:dyDescent="0.2">
      <c r="A29" s="8" t="s">
        <v>162</v>
      </c>
      <c r="B29" s="2"/>
      <c r="C29" s="54">
        <f>'① Hypothèses'!B90</f>
        <v>50000</v>
      </c>
      <c r="D29" s="54">
        <f>C28+C29</f>
        <v>152459</v>
      </c>
      <c r="E29" s="54">
        <f t="shared" ref="E29:O29" si="12">D28+D29</f>
        <v>145198</v>
      </c>
      <c r="F29" s="54">
        <f t="shared" si="12"/>
        <v>187544</v>
      </c>
      <c r="G29" s="54">
        <f t="shared" si="12"/>
        <v>251058</v>
      </c>
      <c r="H29" s="54">
        <f t="shared" si="12"/>
        <v>316435</v>
      </c>
      <c r="I29" s="54">
        <f t="shared" si="12"/>
        <v>469724</v>
      </c>
      <c r="J29" s="54">
        <f t="shared" si="12"/>
        <v>682413</v>
      </c>
      <c r="K29" s="54">
        <f t="shared" si="12"/>
        <v>895102</v>
      </c>
      <c r="L29" s="54">
        <f t="shared" si="12"/>
        <v>1096991</v>
      </c>
      <c r="M29" s="54">
        <f t="shared" si="12"/>
        <v>1242720</v>
      </c>
      <c r="N29" s="54">
        <f t="shared" si="12"/>
        <v>1276129</v>
      </c>
      <c r="O29" s="48">
        <f t="shared" si="12"/>
        <v>1328114</v>
      </c>
      <c r="P29" s="2"/>
      <c r="Q29" s="54">
        <f>N28+N29</f>
        <v>1328114</v>
      </c>
      <c r="R29" s="54">
        <f t="shared" ref="R29:AC29" si="13">Q28+Q29</f>
        <v>1380711</v>
      </c>
      <c r="S29" s="54">
        <f t="shared" si="13"/>
        <v>1416250</v>
      </c>
      <c r="T29" s="54">
        <f t="shared" si="13"/>
        <v>1486130</v>
      </c>
      <c r="U29" s="54">
        <f t="shared" si="13"/>
        <v>1583218</v>
      </c>
      <c r="V29" s="54">
        <f t="shared" si="13"/>
        <v>1704949</v>
      </c>
      <c r="W29" s="54">
        <f t="shared" si="13"/>
        <v>1940860</v>
      </c>
      <c r="X29" s="54">
        <f t="shared" si="13"/>
        <v>2249248</v>
      </c>
      <c r="Y29" s="54">
        <f t="shared" si="13"/>
        <v>2557636</v>
      </c>
      <c r="Z29" s="54">
        <f t="shared" si="13"/>
        <v>2852086</v>
      </c>
      <c r="AA29" s="54">
        <f t="shared" si="13"/>
        <v>3078379</v>
      </c>
      <c r="AB29" s="54">
        <f t="shared" si="13"/>
        <v>3158742</v>
      </c>
      <c r="AC29" s="48">
        <f t="shared" si="13"/>
        <v>3263189</v>
      </c>
      <c r="AD29" s="2"/>
      <c r="AE29" s="54">
        <f>AB28+AB29</f>
        <v>3263189</v>
      </c>
      <c r="AF29" s="54">
        <f t="shared" ref="AF29:AQ29" si="14">AE28+AE29</f>
        <v>3321229</v>
      </c>
      <c r="AG29" s="54">
        <f t="shared" si="14"/>
        <v>3361525</v>
      </c>
      <c r="AH29" s="54">
        <f t="shared" si="14"/>
        <v>3437193</v>
      </c>
      <c r="AI29" s="54">
        <f t="shared" si="14"/>
        <v>3540497</v>
      </c>
      <c r="AJ29" s="54">
        <f t="shared" si="14"/>
        <v>3669049</v>
      </c>
      <c r="AK29" s="54">
        <f t="shared" si="14"/>
        <v>3914807</v>
      </c>
      <c r="AL29" s="54">
        <f t="shared" si="14"/>
        <v>4230225</v>
      </c>
      <c r="AM29" s="54">
        <f t="shared" si="14"/>
        <v>4545643</v>
      </c>
      <c r="AN29" s="54">
        <f t="shared" si="14"/>
        <v>4846844</v>
      </c>
      <c r="AO29" s="54">
        <f t="shared" si="14"/>
        <v>5082933</v>
      </c>
      <c r="AP29" s="54">
        <f t="shared" si="14"/>
        <v>5169178</v>
      </c>
      <c r="AQ29" s="48">
        <f t="shared" si="14"/>
        <v>5280103</v>
      </c>
      <c r="AR29" s="2"/>
    </row>
    <row r="30" spans="1:44" ht="19.5" customHeight="1" x14ac:dyDescent="0.2">
      <c r="A30" s="24" t="s">
        <v>163</v>
      </c>
      <c r="B30" s="2"/>
      <c r="C30" s="25">
        <f>C28+C29</f>
        <v>152459</v>
      </c>
      <c r="D30" s="25">
        <f>D28+D29</f>
        <v>145198</v>
      </c>
      <c r="E30" s="25">
        <f t="shared" ref="E30:N30" si="15">E28+E29</f>
        <v>187544</v>
      </c>
      <c r="F30" s="25">
        <f t="shared" si="15"/>
        <v>251058</v>
      </c>
      <c r="G30" s="25">
        <f t="shared" si="15"/>
        <v>316435</v>
      </c>
      <c r="H30" s="25">
        <f t="shared" si="15"/>
        <v>469724</v>
      </c>
      <c r="I30" s="25">
        <f t="shared" si="15"/>
        <v>682413</v>
      </c>
      <c r="J30" s="25">
        <f t="shared" si="15"/>
        <v>895102</v>
      </c>
      <c r="K30" s="25">
        <f t="shared" si="15"/>
        <v>1096991</v>
      </c>
      <c r="L30" s="25">
        <f t="shared" si="15"/>
        <v>1242720</v>
      </c>
      <c r="M30" s="25">
        <f t="shared" si="15"/>
        <v>1276129</v>
      </c>
      <c r="N30" s="25">
        <f t="shared" si="15"/>
        <v>1328114</v>
      </c>
      <c r="O30" s="26">
        <f>SUM(C30,D30,E30,F30,G30,H30,I30,J30,K30,L30,M30,N30)</f>
        <v>8043887</v>
      </c>
      <c r="P30" s="2"/>
      <c r="Q30" s="25">
        <f t="shared" ref="Q30:AB30" si="16">Q28+Q29</f>
        <v>1380711</v>
      </c>
      <c r="R30" s="25">
        <f t="shared" si="16"/>
        <v>1416250</v>
      </c>
      <c r="S30" s="25">
        <f t="shared" si="16"/>
        <v>1486130</v>
      </c>
      <c r="T30" s="25">
        <f t="shared" si="16"/>
        <v>1583218</v>
      </c>
      <c r="U30" s="25">
        <f t="shared" si="16"/>
        <v>1704949</v>
      </c>
      <c r="V30" s="25">
        <f t="shared" si="16"/>
        <v>1940860</v>
      </c>
      <c r="W30" s="25">
        <f t="shared" si="16"/>
        <v>2249248</v>
      </c>
      <c r="X30" s="25">
        <f t="shared" si="16"/>
        <v>2557636</v>
      </c>
      <c r="Y30" s="25">
        <f t="shared" si="16"/>
        <v>2852086</v>
      </c>
      <c r="Z30" s="25">
        <f t="shared" si="16"/>
        <v>3078379</v>
      </c>
      <c r="AA30" s="25">
        <f t="shared" si="16"/>
        <v>3158742</v>
      </c>
      <c r="AB30" s="25">
        <f t="shared" si="16"/>
        <v>3263189</v>
      </c>
      <c r="AC30" s="26">
        <f>SUM(Q30,R30,S30,T30,U30,V30,W30,X30,Y30,Z30,AA30,AB30)</f>
        <v>26671398</v>
      </c>
      <c r="AD30" s="2"/>
      <c r="AE30" s="25">
        <f t="shared" ref="AE30:AP30" si="17">AE28+AE29</f>
        <v>3321229</v>
      </c>
      <c r="AF30" s="25">
        <f t="shared" si="17"/>
        <v>3361525</v>
      </c>
      <c r="AG30" s="25">
        <f t="shared" si="17"/>
        <v>3437193</v>
      </c>
      <c r="AH30" s="25">
        <f t="shared" si="17"/>
        <v>3540497</v>
      </c>
      <c r="AI30" s="25">
        <f t="shared" si="17"/>
        <v>3669049</v>
      </c>
      <c r="AJ30" s="25">
        <f t="shared" si="17"/>
        <v>3914807</v>
      </c>
      <c r="AK30" s="25">
        <f t="shared" si="17"/>
        <v>4230225</v>
      </c>
      <c r="AL30" s="25">
        <f t="shared" si="17"/>
        <v>4545643</v>
      </c>
      <c r="AM30" s="25">
        <f t="shared" si="17"/>
        <v>4846844</v>
      </c>
      <c r="AN30" s="25">
        <f t="shared" si="17"/>
        <v>5082933</v>
      </c>
      <c r="AO30" s="25">
        <f t="shared" si="17"/>
        <v>5169178</v>
      </c>
      <c r="AP30" s="25">
        <f t="shared" si="17"/>
        <v>5280103</v>
      </c>
      <c r="AQ30" s="26">
        <f>SUM(AE30,AF30,AG30,AH30,AI30,AJ30,AK30,AL30,AM30,AN30,AO30,AP30)</f>
        <v>50399226</v>
      </c>
      <c r="AR30" s="2"/>
    </row>
    <row r="31" spans="1:44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</sheetData>
  <mergeCells count="8">
    <mergeCell ref="A1:AQ1"/>
    <mergeCell ref="A2:AQ2"/>
    <mergeCell ref="A13:AQ13"/>
    <mergeCell ref="A5:AQ5"/>
    <mergeCell ref="A27:AQ27"/>
    <mergeCell ref="C3:O3"/>
    <mergeCell ref="Q3:AC3"/>
    <mergeCell ref="AE3:AQ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84C"/>
  </sheetPr>
  <dimension ref="A1:H70"/>
  <sheetViews>
    <sheetView tabSelected="1" zoomScaleNormal="100" workbookViewId="0">
      <selection activeCell="B24" sqref="B24"/>
    </sheetView>
  </sheetViews>
  <sheetFormatPr baseColWidth="10" defaultColWidth="8.6640625" defaultRowHeight="15" x14ac:dyDescent="0.2"/>
  <cols>
    <col min="1" max="1" width="44" style="1" customWidth="1"/>
    <col min="2" max="7" width="17" style="1" customWidth="1"/>
  </cols>
  <sheetData>
    <row r="1" spans="1:8" ht="25.5" customHeight="1" x14ac:dyDescent="0.2">
      <c r="A1" s="95" t="s">
        <v>245</v>
      </c>
      <c r="B1" s="95"/>
      <c r="C1" s="95"/>
      <c r="D1" s="95"/>
      <c r="E1" s="95"/>
      <c r="F1" s="95"/>
      <c r="G1" s="95"/>
      <c r="H1" s="2"/>
    </row>
    <row r="2" spans="1:8" ht="18" customHeight="1" x14ac:dyDescent="0.2">
      <c r="A2" s="95"/>
      <c r="B2" s="95"/>
      <c r="C2" s="95"/>
      <c r="D2" s="95"/>
      <c r="E2" s="95"/>
      <c r="F2" s="95"/>
      <c r="G2" s="95"/>
      <c r="H2" s="2"/>
    </row>
    <row r="3" spans="1:8" ht="15" customHeight="1" x14ac:dyDescent="0.2">
      <c r="A3" s="2"/>
      <c r="B3" s="2"/>
      <c r="C3" s="2"/>
      <c r="D3" s="2"/>
      <c r="E3" s="2"/>
      <c r="F3" s="2"/>
      <c r="G3" s="2"/>
      <c r="H3" s="2"/>
    </row>
    <row r="4" spans="1:8" ht="19.5" customHeight="1" x14ac:dyDescent="0.2">
      <c r="A4" s="55" t="s">
        <v>164</v>
      </c>
      <c r="B4" s="56" t="s">
        <v>165</v>
      </c>
      <c r="C4" s="57" t="s">
        <v>166</v>
      </c>
      <c r="D4" s="58" t="s">
        <v>167</v>
      </c>
      <c r="E4" s="59" t="s">
        <v>166</v>
      </c>
      <c r="F4" s="60" t="s">
        <v>168</v>
      </c>
      <c r="G4" s="61" t="s">
        <v>166</v>
      </c>
      <c r="H4" s="2"/>
    </row>
    <row r="5" spans="1:8" ht="21.75" customHeight="1" x14ac:dyDescent="0.2">
      <c r="A5" s="96" t="s">
        <v>241</v>
      </c>
      <c r="B5" s="96"/>
      <c r="C5" s="96"/>
      <c r="D5" s="96"/>
      <c r="E5" s="96"/>
      <c r="F5" s="96"/>
      <c r="G5" s="96"/>
      <c r="H5" s="2"/>
    </row>
    <row r="6" spans="1:8" ht="16.5" customHeight="1" x14ac:dyDescent="0.2">
      <c r="A6" s="27" t="s">
        <v>169</v>
      </c>
      <c r="B6" s="28">
        <f>'③ Exploitation CR'!O11</f>
        <v>3129984</v>
      </c>
      <c r="C6" s="62"/>
      <c r="D6" s="28">
        <f>'③ Exploitation CR'!AC11</f>
        <v>4014024</v>
      </c>
      <c r="E6" s="62"/>
      <c r="F6" s="28">
        <f>'③ Exploitation CR'!AQ11</f>
        <v>4132789</v>
      </c>
      <c r="G6" s="62"/>
      <c r="H6" s="2"/>
    </row>
    <row r="7" spans="1:8" ht="16.5" customHeight="1" x14ac:dyDescent="0.2">
      <c r="A7" s="30" t="s">
        <v>170</v>
      </c>
      <c r="B7" s="31">
        <f>'③ Exploitation CR'!O6</f>
        <v>2845440</v>
      </c>
      <c r="C7" s="63">
        <f>IFERROR(B7/B6,0)</f>
        <v>0.90909090909090906</v>
      </c>
      <c r="D7" s="31">
        <f>'③ Exploitation CR'!AC6</f>
        <v>2973352</v>
      </c>
      <c r="E7" s="63">
        <f>IFERROR(D7/D6,0)</f>
        <v>0.74074096218657393</v>
      </c>
      <c r="F7" s="31">
        <f>'③ Exploitation CR'!AQ6</f>
        <v>3061326</v>
      </c>
      <c r="G7" s="63">
        <f>IFERROR(F7/F6,0)</f>
        <v>0.74074093789932172</v>
      </c>
      <c r="H7" s="2"/>
    </row>
    <row r="8" spans="1:8" ht="16.5" customHeight="1" x14ac:dyDescent="0.2">
      <c r="A8" s="30" t="s">
        <v>171</v>
      </c>
      <c r="B8" s="31">
        <f>'③ Exploitation CR'!O7</f>
        <v>284544</v>
      </c>
      <c r="C8" s="63">
        <f>IFERROR(B8/B6,0)</f>
        <v>9.0909090909090912E-2</v>
      </c>
      <c r="D8" s="31">
        <f>'③ Exploitation CR'!AC7</f>
        <v>297335</v>
      </c>
      <c r="E8" s="63">
        <f>IFERROR(D8/D6,0)</f>
        <v>7.4074046393344931E-2</v>
      </c>
      <c r="F8" s="31">
        <f>'③ Exploitation CR'!AQ7</f>
        <v>306132</v>
      </c>
      <c r="G8" s="63">
        <f>IFERROR(F8/F6,0)</f>
        <v>7.407394860952253E-2</v>
      </c>
      <c r="H8" s="2"/>
    </row>
    <row r="9" spans="1:8" ht="16.5" customHeight="1" x14ac:dyDescent="0.2">
      <c r="A9" s="30" t="s">
        <v>122</v>
      </c>
      <c r="B9" s="31">
        <f>'③ Exploitation CR'!O8</f>
        <v>0</v>
      </c>
      <c r="C9" s="63">
        <f>IFERROR(B9/B6,0)</f>
        <v>0</v>
      </c>
      <c r="D9" s="31">
        <f>'③ Exploitation CR'!AC8</f>
        <v>297335</v>
      </c>
      <c r="E9" s="63">
        <f>IFERROR(D9/D6,0)</f>
        <v>7.4074046393344931E-2</v>
      </c>
      <c r="F9" s="31">
        <f>'③ Exploitation CR'!AQ8</f>
        <v>306132</v>
      </c>
      <c r="G9" s="63">
        <f>IFERROR(F9/F6,0)</f>
        <v>7.407394860952253E-2</v>
      </c>
      <c r="H9" s="2"/>
    </row>
    <row r="10" spans="1:8" ht="16.5" customHeight="1" x14ac:dyDescent="0.2">
      <c r="A10" s="30" t="s">
        <v>123</v>
      </c>
      <c r="B10" s="31">
        <f>'③ Exploitation CR'!O9</f>
        <v>0</v>
      </c>
      <c r="C10" s="63">
        <v>0</v>
      </c>
      <c r="D10" s="31">
        <f>'③ Exploitation CR'!AC9</f>
        <v>446002</v>
      </c>
      <c r="E10" s="63">
        <v>0</v>
      </c>
      <c r="F10" s="31">
        <f>'③ Exploitation CR'!AQ9</f>
        <v>459199</v>
      </c>
      <c r="G10" s="63">
        <v>0</v>
      </c>
      <c r="H10" s="2"/>
    </row>
    <row r="11" spans="1:8" ht="16.5" customHeight="1" x14ac:dyDescent="0.2">
      <c r="A11" s="5" t="s">
        <v>172</v>
      </c>
      <c r="B11" s="31">
        <f>'③ Exploitation CR'!O24</f>
        <v>1577220</v>
      </c>
      <c r="C11" s="63">
        <f>IFERROR(B11/B6,0)</f>
        <v>0.50390672923567659</v>
      </c>
      <c r="D11" s="31">
        <f>'③ Exploitation CR'!AC24</f>
        <v>1612605</v>
      </c>
      <c r="E11" s="63">
        <f>IFERROR(D11/D6,0)</f>
        <v>0.40174273995372223</v>
      </c>
      <c r="F11" s="31">
        <f>'③ Exploitation CR'!AQ24</f>
        <v>1640207</v>
      </c>
      <c r="G11" s="63">
        <f>IFERROR(F11/F6,0)</f>
        <v>0.39687654027340857</v>
      </c>
      <c r="H11" s="2"/>
    </row>
    <row r="12" spans="1:8" ht="16.5" customHeight="1" x14ac:dyDescent="0.2">
      <c r="A12" s="64" t="s">
        <v>242</v>
      </c>
      <c r="B12" s="65">
        <f>'③ Exploitation CR'!O15</f>
        <v>333132</v>
      </c>
      <c r="C12" s="66">
        <f>IFERROR(B12/B6,0)</f>
        <v>0.10643249294565084</v>
      </c>
      <c r="D12" s="65">
        <f>'③ Exploitation CR'!AC15</f>
        <v>333132</v>
      </c>
      <c r="E12" s="66">
        <f>IFERROR(D12/D6,0)</f>
        <v>8.2992029943019768E-2</v>
      </c>
      <c r="F12" s="65">
        <f>'③ Exploitation CR'!AQ15</f>
        <v>333132</v>
      </c>
      <c r="G12" s="66">
        <f>IFERROR(F12/F6,0)</f>
        <v>8.0607067043587277E-2</v>
      </c>
      <c r="H12" s="2"/>
    </row>
    <row r="13" spans="1:8" ht="16.5" customHeight="1" x14ac:dyDescent="0.2">
      <c r="A13" s="5" t="s">
        <v>173</v>
      </c>
      <c r="B13" s="31">
        <f>'③ Exploitation CR'!O30</f>
        <v>374650</v>
      </c>
      <c r="C13" s="63">
        <f>IFERROR(B13/B6,0)</f>
        <v>0.11969709749315012</v>
      </c>
      <c r="D13" s="31">
        <f>'③ Exploitation CR'!AC30</f>
        <v>466344</v>
      </c>
      <c r="E13" s="63">
        <f>IFERROR(D13/D6,0)</f>
        <v>0.11617867755648696</v>
      </c>
      <c r="F13" s="31">
        <f>'③ Exploitation CR'!AQ30</f>
        <v>475668</v>
      </c>
      <c r="G13" s="63">
        <f>IFERROR(F13/F6,0)</f>
        <v>0.11509612515906328</v>
      </c>
      <c r="H13" s="2"/>
    </row>
    <row r="14" spans="1:8" ht="16.5" customHeight="1" x14ac:dyDescent="0.2">
      <c r="A14" s="27" t="s">
        <v>144</v>
      </c>
      <c r="B14" s="28">
        <f>'③ Exploitation CR'!O34</f>
        <v>2533135</v>
      </c>
      <c r="C14" s="67">
        <f>IFERROR(B14/B6,0)</f>
        <v>0.80931244376968059</v>
      </c>
      <c r="D14" s="28">
        <f>'③ Exploitation CR'!AC34</f>
        <v>3419355</v>
      </c>
      <c r="E14" s="67">
        <f>IFERROR(D14/D6,0)</f>
        <v>0.85185215633987243</v>
      </c>
      <c r="F14" s="28">
        <f>'③ Exploitation CR'!AQ34</f>
        <v>3520526</v>
      </c>
      <c r="G14" s="67">
        <f>IFERROR(F14/F6,0)</f>
        <v>0.8518523447483044</v>
      </c>
      <c r="H14" s="2"/>
    </row>
    <row r="15" spans="1:8" ht="16.5" customHeight="1" x14ac:dyDescent="0.2">
      <c r="A15" s="27" t="s">
        <v>145</v>
      </c>
      <c r="B15" s="28">
        <f>'③ Exploitation CR'!O35</f>
        <v>1178114</v>
      </c>
      <c r="C15" s="67">
        <f>IFERROR(B15/B6,0)</f>
        <v>0.37639617327117325</v>
      </c>
      <c r="D15" s="28">
        <f>'③ Exploitation CR'!AC35</f>
        <v>1935075</v>
      </c>
      <c r="E15" s="67">
        <f>IFERROR(D15/D6,0)</f>
        <v>0.4820785824897908</v>
      </c>
      <c r="F15" s="28">
        <f>'③ Exploitation CR'!AQ35</f>
        <v>2016914</v>
      </c>
      <c r="G15" s="67">
        <f>IFERROR(F15/F6,0)</f>
        <v>0.48802733456752811</v>
      </c>
      <c r="H15" s="2"/>
    </row>
    <row r="16" spans="1:8" ht="16.5" customHeight="1" x14ac:dyDescent="0.2">
      <c r="A16" s="5" t="s">
        <v>143</v>
      </c>
      <c r="B16" s="31">
        <f>'③ Exploitation CR'!O32</f>
        <v>58692</v>
      </c>
      <c r="C16" s="63">
        <f>IFERROR(B16/B6,0)</f>
        <v>1.8751533554165135E-2</v>
      </c>
      <c r="D16" s="31">
        <f>'③ Exploitation CR'!AC32</f>
        <v>58692</v>
      </c>
      <c r="E16" s="63">
        <f>IFERROR(D16/D6,0)</f>
        <v>1.4621736192907665E-2</v>
      </c>
      <c r="F16" s="31">
        <f>'③ Exploitation CR'!AQ32</f>
        <v>58692</v>
      </c>
      <c r="G16" s="63">
        <f>IFERROR(F16/F6,0)</f>
        <v>1.4201547671560295E-2</v>
      </c>
      <c r="H16" s="2"/>
    </row>
    <row r="17" spans="1:8" ht="16.5" customHeight="1" x14ac:dyDescent="0.2">
      <c r="A17" s="27" t="s">
        <v>146</v>
      </c>
      <c r="B17" s="28">
        <f>'③ Exploitation CR'!O36</f>
        <v>1119422</v>
      </c>
      <c r="C17" s="67">
        <f>IFERROR(B17/B6,0)</f>
        <v>0.35764463971700816</v>
      </c>
      <c r="D17" s="28">
        <f>'③ Exploitation CR'!AC36</f>
        <v>1876383</v>
      </c>
      <c r="E17" s="67">
        <f>IFERROR(D17/D6,0)</f>
        <v>0.46745684629688311</v>
      </c>
      <c r="F17" s="28">
        <f>'③ Exploitation CR'!AQ36</f>
        <v>1958222</v>
      </c>
      <c r="G17" s="67">
        <f>IFERROR(F17/F6,0)</f>
        <v>0.47382578689596783</v>
      </c>
      <c r="H17" s="2"/>
    </row>
    <row r="18" spans="1:8" ht="16.5" customHeight="1" x14ac:dyDescent="0.2">
      <c r="A18" s="24" t="s">
        <v>174</v>
      </c>
      <c r="B18" s="25">
        <f>'③ Exploitation CR'!O37</f>
        <v>1119422</v>
      </c>
      <c r="C18" s="67">
        <f>IFERROR(B18/B6,0)</f>
        <v>0.35764463971700816</v>
      </c>
      <c r="D18" s="25">
        <f>'③ Exploitation CR'!AC37</f>
        <v>1876383</v>
      </c>
      <c r="E18" s="67">
        <f>IFERROR(D18/D6,0)</f>
        <v>0.46745684629688311</v>
      </c>
      <c r="F18" s="25">
        <f>'③ Exploitation CR'!AQ37</f>
        <v>1958222</v>
      </c>
      <c r="G18" s="67">
        <f>IFERROR(F18/F6,0)</f>
        <v>0.47382578689596783</v>
      </c>
      <c r="H18" s="2"/>
    </row>
    <row r="19" spans="1:8" ht="15" customHeight="1" x14ac:dyDescent="0.2">
      <c r="A19" s="2"/>
      <c r="B19" s="2"/>
      <c r="C19" s="2"/>
      <c r="D19" s="2"/>
      <c r="E19" s="2"/>
      <c r="F19" s="2"/>
      <c r="G19" s="2"/>
      <c r="H19" s="2"/>
    </row>
    <row r="20" spans="1:8" ht="21.75" customHeight="1" x14ac:dyDescent="0.2">
      <c r="A20" s="112" t="s">
        <v>243</v>
      </c>
      <c r="B20" s="112"/>
      <c r="C20" s="112"/>
      <c r="D20" s="112"/>
      <c r="E20" s="112"/>
      <c r="F20" s="112"/>
      <c r="G20" s="112"/>
      <c r="H20" s="2"/>
    </row>
    <row r="21" spans="1:8" ht="16.5" customHeight="1" x14ac:dyDescent="0.2">
      <c r="A21" s="5" t="s">
        <v>175</v>
      </c>
      <c r="B21" s="31">
        <f>'② Holding CR'!O6</f>
        <v>333132</v>
      </c>
      <c r="C21" s="68"/>
      <c r="D21" s="31">
        <f>'② Holding CR'!AC6</f>
        <v>333132</v>
      </c>
      <c r="E21" s="68"/>
      <c r="F21" s="31">
        <f>'② Holding CR'!AQ6</f>
        <v>333132</v>
      </c>
      <c r="G21" s="68"/>
      <c r="H21" s="2"/>
    </row>
    <row r="22" spans="1:8" ht="16.5" customHeight="1" x14ac:dyDescent="0.2">
      <c r="A22" s="5" t="s">
        <v>176</v>
      </c>
      <c r="B22" s="31">
        <f>'② Holding CR'!O9</f>
        <v>266508</v>
      </c>
      <c r="C22" s="68"/>
      <c r="D22" s="31">
        <f>'② Holding CR'!AC9</f>
        <v>266508</v>
      </c>
      <c r="E22" s="68"/>
      <c r="F22" s="31">
        <f>'② Holding CR'!AQ9</f>
        <v>266508</v>
      </c>
      <c r="G22" s="68"/>
      <c r="H22" s="2"/>
    </row>
    <row r="23" spans="1:8" ht="16.5" customHeight="1" x14ac:dyDescent="0.2">
      <c r="A23" s="36" t="s">
        <v>177</v>
      </c>
      <c r="B23" s="37">
        <f>'② Holding CR'!O14</f>
        <v>24624</v>
      </c>
      <c r="C23" s="69"/>
      <c r="D23" s="37">
        <f>'② Holding CR'!AC14</f>
        <v>23784</v>
      </c>
      <c r="E23" s="69"/>
      <c r="F23" s="37">
        <f>'② Holding CR'!AQ14</f>
        <v>22944</v>
      </c>
      <c r="G23" s="69"/>
      <c r="H23" s="2"/>
    </row>
    <row r="24" spans="1:8" ht="16.5" customHeight="1" x14ac:dyDescent="0.2">
      <c r="A24" s="5" t="s">
        <v>178</v>
      </c>
      <c r="B24" s="31">
        <f>'② Holding CR'!O11</f>
        <v>309996</v>
      </c>
      <c r="C24" s="68"/>
      <c r="D24" s="31">
        <f>'② Holding CR'!AC11</f>
        <v>309996</v>
      </c>
      <c r="E24" s="68"/>
      <c r="F24" s="31">
        <f>'② Holding CR'!AQ11</f>
        <v>309996</v>
      </c>
      <c r="G24" s="68"/>
      <c r="H24" s="2"/>
    </row>
    <row r="25" spans="1:8" ht="16.5" customHeight="1" x14ac:dyDescent="0.2">
      <c r="A25" s="70" t="s">
        <v>179</v>
      </c>
      <c r="B25" s="71">
        <f>'② Holding CR'!O15</f>
        <v>-285372</v>
      </c>
      <c r="C25" s="72"/>
      <c r="D25" s="71">
        <f>'② Holding CR'!AC15</f>
        <v>-286212</v>
      </c>
      <c r="E25" s="72"/>
      <c r="F25" s="71">
        <f>'② Holding CR'!AQ15</f>
        <v>-287052</v>
      </c>
      <c r="G25" s="72"/>
      <c r="H25" s="2"/>
    </row>
    <row r="26" spans="1:8" ht="15" customHeight="1" x14ac:dyDescent="0.2">
      <c r="A26" s="2"/>
      <c r="B26" s="2"/>
      <c r="C26" s="2"/>
      <c r="D26" s="2"/>
      <c r="E26" s="2"/>
      <c r="F26" s="2"/>
      <c r="G26" s="2"/>
      <c r="H26" s="2"/>
    </row>
    <row r="27" spans="1:8" ht="15" customHeight="1" x14ac:dyDescent="0.2">
      <c r="A27" s="2"/>
      <c r="B27" s="2"/>
      <c r="C27" s="2"/>
      <c r="D27" s="2"/>
      <c r="E27" s="2"/>
      <c r="F27" s="2"/>
      <c r="G27" s="2"/>
      <c r="H27" s="2"/>
    </row>
    <row r="28" spans="1:8" ht="19" customHeight="1" x14ac:dyDescent="0.2">
      <c r="A28" s="111" t="s">
        <v>249</v>
      </c>
      <c r="B28" s="111"/>
      <c r="C28" s="111"/>
      <c r="D28" s="111"/>
      <c r="E28" s="111"/>
      <c r="F28" s="111"/>
      <c r="G28" s="111"/>
      <c r="H28" s="2"/>
    </row>
    <row r="29" spans="1:8" ht="15" customHeight="1" x14ac:dyDescent="0.2">
      <c r="A29" s="2"/>
      <c r="B29" s="2"/>
      <c r="C29" s="2"/>
      <c r="D29" s="2"/>
      <c r="E29" s="2"/>
      <c r="F29" s="2"/>
      <c r="G29" s="2"/>
      <c r="H29" s="2"/>
    </row>
    <row r="30" spans="1:8" ht="15" customHeight="1" x14ac:dyDescent="0.2">
      <c r="A30" s="2"/>
      <c r="B30" s="2"/>
      <c r="C30" s="2"/>
      <c r="D30" s="2"/>
      <c r="E30" s="2"/>
      <c r="F30" s="2"/>
      <c r="G30" s="2"/>
      <c r="H30" s="2"/>
    </row>
    <row r="31" spans="1:8" ht="15" customHeight="1" x14ac:dyDescent="0.2">
      <c r="A31" s="2"/>
      <c r="B31" s="2"/>
      <c r="C31" s="2"/>
      <c r="D31" s="2"/>
      <c r="E31" s="2"/>
      <c r="F31" s="2"/>
      <c r="G31" s="2"/>
      <c r="H31" s="2"/>
    </row>
    <row r="32" spans="1:8" ht="15" customHeight="1" x14ac:dyDescent="0.2">
      <c r="A32" s="2"/>
      <c r="B32" s="2"/>
      <c r="C32" s="2"/>
      <c r="D32" s="2"/>
      <c r="E32" s="2"/>
      <c r="F32" s="2"/>
      <c r="G32" s="2"/>
      <c r="H32" s="2"/>
    </row>
    <row r="33" spans="1:8" ht="15" customHeight="1" x14ac:dyDescent="0.2">
      <c r="A33" s="2"/>
      <c r="B33" s="2"/>
      <c r="C33" s="2"/>
      <c r="D33" s="2"/>
      <c r="E33" s="2"/>
      <c r="F33" s="2"/>
      <c r="G33" s="2"/>
      <c r="H33" s="2"/>
    </row>
    <row r="34" spans="1:8" ht="15" customHeight="1" x14ac:dyDescent="0.2">
      <c r="A34" s="2"/>
      <c r="B34" s="2"/>
      <c r="C34" s="2"/>
      <c r="D34" s="2"/>
      <c r="E34" s="2"/>
      <c r="F34" s="2"/>
      <c r="G34" s="2"/>
      <c r="H34" s="2"/>
    </row>
    <row r="35" spans="1:8" ht="15" customHeight="1" x14ac:dyDescent="0.2">
      <c r="A35" s="2"/>
      <c r="B35" s="2"/>
      <c r="C35" s="2"/>
      <c r="D35" s="2"/>
      <c r="E35" s="2"/>
      <c r="F35" s="2"/>
      <c r="G35" s="2"/>
      <c r="H35" s="2"/>
    </row>
    <row r="36" spans="1:8" ht="15" customHeight="1" x14ac:dyDescent="0.2">
      <c r="A36" s="2"/>
      <c r="B36" s="2"/>
      <c r="C36" s="2"/>
      <c r="D36" s="2"/>
      <c r="E36" s="2"/>
      <c r="F36" s="2"/>
      <c r="G36" s="2"/>
      <c r="H36" s="2"/>
    </row>
    <row r="37" spans="1:8" ht="15" customHeight="1" x14ac:dyDescent="0.2">
      <c r="A37" s="2"/>
      <c r="B37" s="2"/>
      <c r="C37" s="2"/>
      <c r="D37" s="2"/>
      <c r="E37" s="2"/>
      <c r="F37" s="2"/>
      <c r="G37" s="2"/>
      <c r="H37" s="2"/>
    </row>
    <row r="38" spans="1:8" ht="15" customHeight="1" x14ac:dyDescent="0.2">
      <c r="A38" s="2"/>
      <c r="B38" s="2"/>
      <c r="C38" s="2"/>
      <c r="D38" s="2"/>
      <c r="E38" s="2"/>
      <c r="F38" s="2"/>
      <c r="G38" s="2"/>
      <c r="H38" s="2"/>
    </row>
    <row r="39" spans="1:8" ht="15" customHeight="1" x14ac:dyDescent="0.2">
      <c r="A39" s="2"/>
      <c r="B39" s="2"/>
      <c r="C39" s="2"/>
      <c r="D39" s="2"/>
      <c r="E39" s="2"/>
      <c r="F39" s="2"/>
      <c r="G39" s="2"/>
      <c r="H39" s="2"/>
    </row>
    <row r="40" spans="1:8" ht="15" customHeight="1" x14ac:dyDescent="0.2">
      <c r="A40" s="2"/>
      <c r="B40" s="2"/>
      <c r="C40" s="2"/>
      <c r="D40" s="2"/>
      <c r="E40" s="2"/>
      <c r="F40" s="2"/>
      <c r="G40" s="2"/>
      <c r="H40" s="2"/>
    </row>
    <row r="41" spans="1:8" ht="15" customHeight="1" x14ac:dyDescent="0.2">
      <c r="A41" s="2"/>
      <c r="B41" s="2"/>
      <c r="C41" s="2"/>
      <c r="D41" s="2"/>
      <c r="E41" s="2"/>
      <c r="F41" s="2"/>
      <c r="G41" s="2"/>
      <c r="H41" s="2"/>
    </row>
    <row r="42" spans="1:8" ht="15" customHeight="1" x14ac:dyDescent="0.2">
      <c r="A42" s="2"/>
      <c r="B42" s="2"/>
      <c r="C42" s="2"/>
      <c r="D42" s="2"/>
      <c r="E42" s="2"/>
      <c r="F42" s="2"/>
      <c r="G42" s="2"/>
      <c r="H42" s="2"/>
    </row>
    <row r="43" spans="1:8" ht="15" customHeight="1" x14ac:dyDescent="0.2">
      <c r="A43" s="2"/>
      <c r="B43" s="2"/>
      <c r="C43" s="2"/>
      <c r="D43" s="2"/>
      <c r="E43" s="2"/>
      <c r="F43" s="2"/>
      <c r="G43" s="2"/>
      <c r="H43" s="2"/>
    </row>
    <row r="44" spans="1:8" ht="15" customHeight="1" x14ac:dyDescent="0.2">
      <c r="A44" s="2"/>
      <c r="B44" s="2"/>
      <c r="C44" s="2"/>
      <c r="D44" s="2"/>
      <c r="E44" s="2"/>
      <c r="F44" s="2"/>
      <c r="G44" s="2"/>
      <c r="H44" s="2"/>
    </row>
    <row r="45" spans="1:8" ht="15" customHeight="1" x14ac:dyDescent="0.2">
      <c r="A45" s="2"/>
      <c r="B45" s="2"/>
      <c r="C45" s="2"/>
      <c r="D45" s="2"/>
      <c r="E45" s="2"/>
      <c r="F45" s="2"/>
      <c r="G45" s="2"/>
      <c r="H45" s="2"/>
    </row>
    <row r="46" spans="1:8" ht="15" customHeight="1" x14ac:dyDescent="0.2">
      <c r="A46" s="2"/>
      <c r="B46" s="2"/>
      <c r="C46" s="2"/>
      <c r="D46" s="2"/>
      <c r="E46" s="2"/>
      <c r="F46" s="2"/>
      <c r="G46" s="2"/>
      <c r="H46" s="2"/>
    </row>
    <row r="47" spans="1:8" ht="15" customHeight="1" x14ac:dyDescent="0.2">
      <c r="A47" s="2"/>
      <c r="B47" s="2"/>
      <c r="C47" s="2"/>
      <c r="D47" s="2"/>
      <c r="E47" s="2"/>
      <c r="F47" s="2"/>
      <c r="G47" s="2"/>
      <c r="H47" s="2"/>
    </row>
    <row r="48" spans="1:8" ht="15" customHeight="1" x14ac:dyDescent="0.2">
      <c r="A48" s="2"/>
      <c r="B48" s="2"/>
      <c r="C48" s="2"/>
      <c r="D48" s="2"/>
      <c r="E48" s="2"/>
      <c r="F48" s="2"/>
      <c r="G48" s="2"/>
      <c r="H48" s="2"/>
    </row>
    <row r="49" spans="1:8" ht="15" customHeight="1" x14ac:dyDescent="0.2">
      <c r="A49" s="2"/>
      <c r="B49" s="2"/>
      <c r="C49" s="2"/>
      <c r="D49" s="2"/>
      <c r="E49" s="2"/>
      <c r="F49" s="2"/>
      <c r="G49" s="2"/>
      <c r="H49" s="2"/>
    </row>
    <row r="50" spans="1:8" ht="15" customHeight="1" x14ac:dyDescent="0.2">
      <c r="A50" s="2"/>
      <c r="B50" s="2"/>
      <c r="C50" s="2"/>
      <c r="D50" s="2"/>
      <c r="E50" s="2"/>
      <c r="F50" s="2"/>
      <c r="G50" s="2"/>
      <c r="H50" s="2"/>
    </row>
    <row r="51" spans="1:8" ht="15" customHeight="1" x14ac:dyDescent="0.2">
      <c r="A51" s="2"/>
      <c r="B51" s="2"/>
      <c r="C51" s="2"/>
      <c r="D51" s="2"/>
      <c r="E51" s="2"/>
      <c r="F51" s="2"/>
      <c r="G51" s="2"/>
      <c r="H51" s="2"/>
    </row>
    <row r="52" spans="1:8" ht="15" customHeight="1" x14ac:dyDescent="0.2">
      <c r="A52" s="2"/>
      <c r="B52" s="2"/>
      <c r="C52" s="2"/>
      <c r="D52" s="2"/>
      <c r="E52" s="2"/>
      <c r="F52" s="2"/>
      <c r="G52" s="2"/>
      <c r="H52" s="2"/>
    </row>
    <row r="53" spans="1:8" ht="15" customHeight="1" x14ac:dyDescent="0.2">
      <c r="A53" s="2"/>
      <c r="B53" s="2"/>
      <c r="C53" s="2"/>
      <c r="D53" s="2"/>
      <c r="E53" s="2"/>
      <c r="F53" s="2"/>
      <c r="G53" s="2"/>
      <c r="H53" s="2"/>
    </row>
    <row r="54" spans="1:8" ht="15" customHeight="1" x14ac:dyDescent="0.2">
      <c r="A54" s="2"/>
      <c r="B54" s="2"/>
      <c r="C54" s="2"/>
      <c r="D54" s="2"/>
      <c r="E54" s="2"/>
      <c r="F54" s="2"/>
      <c r="G54" s="2"/>
      <c r="H54" s="2"/>
    </row>
    <row r="55" spans="1:8" ht="15" customHeight="1" x14ac:dyDescent="0.2">
      <c r="A55" s="2"/>
      <c r="B55" s="2"/>
      <c r="C55" s="2"/>
      <c r="D55" s="2"/>
      <c r="E55" s="2"/>
      <c r="F55" s="2"/>
      <c r="G55" s="2"/>
      <c r="H55" s="2"/>
    </row>
    <row r="56" spans="1:8" ht="15" customHeight="1" x14ac:dyDescent="0.2">
      <c r="A56" s="2"/>
      <c r="B56" s="2"/>
      <c r="C56" s="2"/>
      <c r="D56" s="2"/>
      <c r="E56" s="2"/>
      <c r="F56" s="2"/>
      <c r="G56" s="2"/>
      <c r="H56" s="2"/>
    </row>
    <row r="57" spans="1:8" ht="15" customHeight="1" x14ac:dyDescent="0.2">
      <c r="A57" s="2"/>
      <c r="B57" s="2"/>
      <c r="C57" s="2"/>
      <c r="D57" s="2"/>
      <c r="E57" s="2"/>
      <c r="F57" s="2"/>
      <c r="G57" s="2"/>
      <c r="H57" s="2"/>
    </row>
    <row r="58" spans="1:8" ht="15" customHeight="1" x14ac:dyDescent="0.2">
      <c r="A58" s="2"/>
      <c r="B58" s="2"/>
      <c r="C58" s="2"/>
      <c r="D58" s="2"/>
      <c r="E58" s="2"/>
      <c r="F58" s="2"/>
      <c r="G58" s="2"/>
      <c r="H58" s="2"/>
    </row>
    <row r="59" spans="1:8" ht="15" customHeight="1" x14ac:dyDescent="0.2">
      <c r="A59" s="2"/>
      <c r="B59" s="2"/>
      <c r="C59" s="2"/>
      <c r="D59" s="2"/>
      <c r="E59" s="2"/>
      <c r="F59" s="2"/>
      <c r="G59" s="2"/>
      <c r="H59" s="2"/>
    </row>
    <row r="60" spans="1:8" ht="15" customHeight="1" x14ac:dyDescent="0.2">
      <c r="A60" s="2"/>
      <c r="B60" s="2"/>
      <c r="C60" s="2"/>
      <c r="D60" s="2"/>
      <c r="E60" s="2"/>
      <c r="F60" s="2"/>
      <c r="G60" s="2"/>
      <c r="H60" s="2"/>
    </row>
    <row r="61" spans="1:8" ht="15" customHeight="1" x14ac:dyDescent="0.2">
      <c r="A61" s="2"/>
      <c r="B61" s="2"/>
      <c r="C61" s="2"/>
      <c r="D61" s="2"/>
      <c r="E61" s="2"/>
      <c r="F61" s="2"/>
      <c r="G61" s="2"/>
      <c r="H61" s="2"/>
    </row>
    <row r="62" spans="1:8" ht="15" customHeight="1" x14ac:dyDescent="0.2">
      <c r="A62" s="2"/>
      <c r="B62" s="2"/>
      <c r="C62" s="2"/>
      <c r="D62" s="2"/>
      <c r="E62" s="2"/>
      <c r="F62" s="2"/>
      <c r="G62" s="2"/>
      <c r="H62" s="2"/>
    </row>
    <row r="63" spans="1:8" ht="15" customHeight="1" x14ac:dyDescent="0.2">
      <c r="A63" s="2"/>
      <c r="B63" s="2"/>
      <c r="C63" s="2"/>
      <c r="D63" s="2"/>
      <c r="E63" s="2"/>
      <c r="F63" s="2"/>
      <c r="G63" s="2"/>
      <c r="H63" s="2"/>
    </row>
    <row r="64" spans="1:8" ht="15" customHeight="1" x14ac:dyDescent="0.2">
      <c r="A64" s="2"/>
      <c r="B64" s="2"/>
      <c r="C64" s="2"/>
      <c r="D64" s="2"/>
      <c r="E64" s="2"/>
      <c r="F64" s="2"/>
      <c r="G64" s="2"/>
      <c r="H64" s="2"/>
    </row>
    <row r="65" spans="1:8" ht="15" customHeight="1" x14ac:dyDescent="0.2">
      <c r="A65" s="2"/>
      <c r="B65" s="2"/>
      <c r="C65" s="2"/>
      <c r="D65" s="2"/>
      <c r="E65" s="2"/>
      <c r="F65" s="2"/>
      <c r="G65" s="2"/>
      <c r="H65" s="2"/>
    </row>
    <row r="66" spans="1:8" ht="15" customHeight="1" x14ac:dyDescent="0.2">
      <c r="A66" s="2"/>
      <c r="B66" s="2"/>
      <c r="C66" s="2"/>
      <c r="D66" s="2"/>
      <c r="E66" s="2"/>
      <c r="F66" s="2"/>
      <c r="G66" s="2"/>
      <c r="H66" s="2"/>
    </row>
    <row r="67" spans="1:8" ht="15" customHeight="1" x14ac:dyDescent="0.2">
      <c r="A67" s="2"/>
      <c r="B67" s="2"/>
      <c r="C67" s="2"/>
      <c r="D67" s="2"/>
      <c r="E67" s="2"/>
      <c r="F67" s="2"/>
      <c r="G67" s="2"/>
      <c r="H67" s="2"/>
    </row>
    <row r="68" spans="1:8" ht="15" customHeight="1" x14ac:dyDescent="0.2">
      <c r="A68" s="2"/>
      <c r="B68" s="2"/>
      <c r="C68" s="2"/>
      <c r="D68" s="2"/>
      <c r="E68" s="2"/>
      <c r="F68" s="2"/>
      <c r="G68" s="2"/>
      <c r="H68" s="2"/>
    </row>
    <row r="69" spans="1:8" ht="15" customHeight="1" x14ac:dyDescent="0.2">
      <c r="A69" s="2"/>
      <c r="B69" s="2"/>
      <c r="C69" s="2"/>
      <c r="D69" s="2"/>
      <c r="E69" s="2"/>
      <c r="F69" s="2"/>
      <c r="G69" s="2"/>
      <c r="H69" s="2"/>
    </row>
    <row r="70" spans="1:8" ht="15" customHeight="1" x14ac:dyDescent="0.2">
      <c r="A70" s="2"/>
      <c r="B70" s="2"/>
      <c r="C70" s="2"/>
      <c r="D70" s="2"/>
      <c r="E70" s="2"/>
      <c r="F70" s="2"/>
      <c r="G70" s="2"/>
      <c r="H70" s="2"/>
    </row>
  </sheetData>
  <mergeCells count="4">
    <mergeCell ref="A28:G28"/>
    <mergeCell ref="A20:G20"/>
    <mergeCell ref="A5:G5"/>
    <mergeCell ref="A1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Infos</vt:lpstr>
      <vt:lpstr>① Hypothèses</vt:lpstr>
      <vt:lpstr>② Holding CR</vt:lpstr>
      <vt:lpstr>③ Exploitation CR</vt:lpstr>
      <vt:lpstr>④ Exploitation Trésorerie</vt:lpstr>
      <vt:lpstr>⑤ 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cp:lastPrinted>2026-03-01T08:58:00Z</cp:lastPrinted>
  <dcterms:created xsi:type="dcterms:W3CDTF">2026-02-28T11:25:34Z</dcterms:created>
  <dcterms:modified xsi:type="dcterms:W3CDTF">2026-03-01T11:38:29Z</dcterms:modified>
  <dc:language>en-US</dc:language>
</cp:coreProperties>
</file>