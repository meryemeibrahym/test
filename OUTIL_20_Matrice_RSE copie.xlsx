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brahym/Desktop/MES OUTILS/"/>
    </mc:Choice>
  </mc:AlternateContent>
  <xr:revisionPtr revIDLastSave="0" documentId="8_{E4ADFA3B-19F4-594B-87EE-CCF7E2DA0E3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Guide d'utilisation" sheetId="1" r:id="rId1"/>
    <sheet name="Fiche Établissement" sheetId="2" r:id="rId2"/>
    <sheet name="Matrice R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3" l="1"/>
  <c r="F24" i="3"/>
  <c r="F23" i="3"/>
  <c r="F22" i="3"/>
  <c r="F21" i="3"/>
  <c r="D30" i="3" s="1"/>
  <c r="E30" i="3" s="1"/>
  <c r="F30" i="3" s="1"/>
  <c r="F19" i="3"/>
  <c r="F18" i="3"/>
  <c r="F17" i="3"/>
  <c r="F16" i="3"/>
  <c r="F15" i="3"/>
  <c r="D29" i="3" s="1"/>
  <c r="E29" i="3" s="1"/>
  <c r="F29" i="3" s="1"/>
  <c r="F13" i="3"/>
  <c r="F12" i="3"/>
  <c r="F11" i="3"/>
  <c r="F10" i="3"/>
  <c r="F9" i="3"/>
  <c r="F8" i="3"/>
  <c r="D28" i="3" s="1"/>
  <c r="E32" i="3" l="1"/>
  <c r="F32" i="3" s="1"/>
  <c r="E28" i="3"/>
  <c r="F28" i="3" s="1"/>
</calcChain>
</file>

<file path=xl/sharedStrings.xml><?xml version="1.0" encoding="utf-8"?>
<sst xmlns="http://schemas.openxmlformats.org/spreadsheetml/2006/main" count="162" uniqueCount="150">
  <si>
    <t>Expert-Comptable • Investisseur MRE/France • Hôtellerie touristique Maroc  |  Réf. GRI / ISO 26000 / SNDD Maroc 2030</t>
  </si>
  <si>
    <t>1.  PRÉSENTATION DE L'OUTIL</t>
  </si>
  <si>
    <t>Objectif</t>
  </si>
  <si>
    <t>Réaliser un diagnostic RSE complet d'un établissement touristique marocain et produire une note /100 avec plan d'action, mobilisable dans une mission de conseil stratégique à haute valeur ajoutée.</t>
  </si>
  <si>
    <t>Utilisateurs cibles</t>
  </si>
  <si>
    <t>Expert-comptable  •  Investisseur MRE ou français  •  Direction d'établissement</t>
  </si>
  <si>
    <t>Référentiels</t>
  </si>
  <si>
    <t>GRI Hospitality Sector Supplement  I  ISO 26000  I  SNDD Maroc 2030  I Critères SMIT</t>
  </si>
  <si>
    <t>2.  LOGIQUE DE NOTATION – COMMENT LE SCORE EST CALCULÉ</t>
  </si>
  <si>
    <t>ÉTAPE 1 – Saisir le score (liste déroulante)</t>
  </si>
  <si>
    <t>Pour chaque indicateur, sélectionner un niveau dans la liste déroulante :
  Niveau 1  -&gt; Indicateur absent ou non mis en œuvre
  Niveau 2  -&gt; Démarche identifiée, initiée, non formalisée
  Niveau 3  -&gt; Démarche formalisée, partiellement déployée et documentée
  Niveau 4  -&gt; Maturité RSE : mesuré, documenté, piloté, en amélioration continue</t>
  </si>
  <si>
    <t>ÉTAPE 2 – Conversion automatique en note /100</t>
  </si>
  <si>
    <t>La colonne NOTE /100 est calculée automatiquement :
  Niveau 1 -&gt; 0 / 100   |   Niveau 2 -&gt; 33 / 100   |   Niveau 3 -&gt; 67 / 100   |   Niveau 4 -&gt; 100 / 100</t>
  </si>
  <si>
    <t>ÉTAPE 3 – Score par pilier = Moyenne des indicateurs du pilier</t>
  </si>
  <si>
    <t>Chaque pilier est noté indépendamment :
  Score Environnement (6 indicateurs) = MOYENNE des 6 notes /100
  Score Social (5 indicateurs) = MOYENNE des 5 notes /100
  Score Gouvernance (4 indicateurs) = MOYENNE des 4 notes /100
  Chaque pilier est noté de 0 à 100. Ils sont INDÉPENDANTS.</t>
  </si>
  <si>
    <t>ÉTAPE 4 – Score global = Moyenne des 3 piliers</t>
  </si>
  <si>
    <t>Score global /100 = (Score ENV + Score SOC + Score GOV) / 3
Chaque pilier a le même poids (33,3%). 
La note globale reflète l'équilibre RSE de l'établissement sur l'ensemble de ses dimensions.</t>
  </si>
  <si>
    <t>3.  INTERPRÉTATION DES SCORES</t>
  </si>
  <si>
    <t>PLAGE DE SCORE</t>
  </si>
  <si>
    <t>NIVEAU &amp; SIGNIFICATION</t>
  </si>
  <si>
    <t>Niveau 1  |  0 – 24 / 100</t>
  </si>
  <si>
    <t>Niveau 2  |  25 – 49 / 100</t>
  </si>
  <si>
    <t>Niveau 3  |  50 – 74 / 100</t>
  </si>
  <si>
    <t>Niveau 4  |  75 – 100 / 100</t>
  </si>
  <si>
    <t>4.  CONVENTIONS DE COULEUR &amp; SAISIE</t>
  </si>
  <si>
    <t>Texte bleu / fond jaune pâle</t>
  </si>
  <si>
    <t>Texte noir / fond blanc</t>
  </si>
  <si>
    <t>Couleur vert / pilier ENV</t>
  </si>
  <si>
    <t>Pilier Environnement (E1 à E6)</t>
  </si>
  <si>
    <t>Couleur bleu / pilier SOC</t>
  </si>
  <si>
    <t>Pilier Social (S1 à S5)</t>
  </si>
  <si>
    <t>Couleur violet / pilier GOV</t>
  </si>
  <si>
    <t>Pilier Gouvernance (G1 à G4)</t>
  </si>
  <si>
    <t>Rouge --&gt; Orange --&gt; Vert</t>
  </si>
  <si>
    <t>Mise en forme conditionnelle sur les notes /100</t>
  </si>
  <si>
    <t>OUTIL RSE  TOURISME DURABLE MAROC
Fiche d'Identification de l'Établissement</t>
  </si>
  <si>
    <t>Mission diagnostic extra-financier  |  Réf. GRI / ISO 26000 / SNDD Maroc 2030</t>
  </si>
  <si>
    <t>IDENTITÉ DE L'ÉTABLISSEMENT</t>
  </si>
  <si>
    <t>Nom de l'établissement</t>
  </si>
  <si>
    <t>RIAD DE LA SOUTENANCE</t>
  </si>
  <si>
    <t>Capacité</t>
  </si>
  <si>
    <t>10 chambres – 18 personnes max.</t>
  </si>
  <si>
    <t>Adresse / Médina</t>
  </si>
  <si>
    <t>Derb Sidi Bouloukat 28, Médina, Marrakech</t>
  </si>
  <si>
    <t>Employés ETP</t>
  </si>
  <si>
    <t>5 ETP (3 CDI, 2 CDD saisonniers)</t>
  </si>
  <si>
    <t>Classement</t>
  </si>
  <si>
    <t xml:space="preserve">4 clés  Riad </t>
  </si>
  <si>
    <t>Année d'ouverture</t>
  </si>
  <si>
    <t>Statut juridique</t>
  </si>
  <si>
    <t>SARL – Capital 10 000 MAD</t>
  </si>
  <si>
    <t>Investisseur</t>
  </si>
  <si>
    <t xml:space="preserve">MRE </t>
  </si>
  <si>
    <t>N° RC / IF</t>
  </si>
  <si>
    <t>RC 54321 Marrakech  /  IF 4456789</t>
  </si>
  <si>
    <t>Exercice de référence</t>
  </si>
  <si>
    <t>2025  (01/01/2025 – 31/12/2025)</t>
  </si>
  <si>
    <t>Responsable RSE</t>
  </si>
  <si>
    <t>M. X – Directeur Général</t>
  </si>
  <si>
    <t>Expert-Comptable au Maroc</t>
  </si>
  <si>
    <t>Cabinet Conseil Maroc</t>
  </si>
  <si>
    <t>CADRE DE LA MISSION</t>
  </si>
  <si>
    <t>Type de mission</t>
  </si>
  <si>
    <t xml:space="preserve">Diagnostic extra-financier RSE / Mission de conseil </t>
  </si>
  <si>
    <t>Méthodologie</t>
  </si>
  <si>
    <t xml:space="preserve">Revue documentaire  • Entretiens • Visite site (optionel)  • Analyse </t>
  </si>
  <si>
    <t>Documents collectés</t>
  </si>
  <si>
    <t xml:space="preserve">Factures 12 mois • Bulletins paie • CNSS •  DGI • Documents transmis par le cabinet local </t>
  </si>
  <si>
    <t>Périmètre</t>
  </si>
  <si>
    <t>⚠ Avertissement</t>
  </si>
  <si>
    <t>MATRICE DE SCORING RSE – TOURISME DURABLE MAROC
RIAD DE LA SOUTENANCE – Marrakech – Exercice 2025</t>
  </si>
  <si>
    <t>Score 0–3 (liste déroulante)  →  Note /100 automatique  →  Score pilier = Moyenne des indicateurs  →  Score global = Moyenne des 3 piliers  |  Cellules bleues = SAISIE</t>
  </si>
  <si>
    <t>ID</t>
  </si>
  <si>
    <t>INDICATEUR &amp; DESCRIPTION</t>
  </si>
  <si>
    <t>SCORE
(0 à 3)</t>
  </si>
  <si>
    <t>JUSTIFICATIF &amp; ÉLÉMENTS PROBANTS</t>
  </si>
  <si>
    <t>NOTE
/100</t>
  </si>
  <si>
    <t>🌿 PILIER ENVIRONNEMENT  –  6 indicateurs  –  Score = Moyenne des 6 notes /100</t>
  </si>
  <si>
    <t>E1</t>
  </si>
  <si>
    <t>Consommation d'eau
Ratio m³/nuitée | Compteurs divisionnaires | Objectif annuel |</t>
  </si>
  <si>
    <t>Niveau 2</t>
  </si>
  <si>
    <t>Factures RADEEMA 2025 : 1 847 m³/an → 28 l/pers/nuit (benchmark 25 l). 2 compteurs. Objectif -10% 2026. Absence de recyclage eaux grises.</t>
  </si>
  <si>
    <t>E2</t>
  </si>
  <si>
    <t>Énergie &amp; émissions GES
kWh/nuitée | Part ENR | Bilan GES scope 1+2 | Contrat énergie verte ONEE</t>
  </si>
  <si>
    <t>ONEE 2025 : 48 200 kWh → 72 kWh/nuitée. Chauffe-eau solaire 6m². Éclairage 100% LED. Pas de bilan GES ni contrat énergie verte. Devis PV 10kWc en cours (T1 2025).</t>
  </si>
  <si>
    <t>E3</t>
  </si>
  <si>
    <t>Gestion des déchets
Tri sélectif | Prestataire agréé | Taux valorisation | Compostage cuisine</t>
  </si>
  <si>
    <t>Niveau 3</t>
  </si>
  <si>
    <t xml:space="preserve">Tri 2 flux. Contrat avec une société de gestion des déchets (agréé Wilaya) depuis 01/2023. Compostage initié (bac acquis 11/2023). </t>
  </si>
  <si>
    <t>E4</t>
  </si>
  <si>
    <t>Biodiversité &amp; espaces verts
100% espèces locales | Zéro pesticide | Potager | Jardin agroécologique</t>
  </si>
  <si>
    <t>Niveau 4</t>
  </si>
  <si>
    <t>Jardin patio 100% plantes locales (oranger, citronniers). Zéro pesticide; Potager aromatiques 10m² alimente la cuisine. Cité dans 78% des avis.</t>
  </si>
  <si>
    <t>E5</t>
  </si>
  <si>
    <t>Achats responsables &amp; locaux
% produits &lt;100 km | Politique fournisseurs écrite | Cosmétiques bio</t>
  </si>
  <si>
    <t>100% achats  auprès de fourniseurs &lt;100 km. Cosmétiques : savon beldi + huile d'argan bio (Coopératives locales). Politique fournisseurs non formalisée par écrit.</t>
  </si>
  <si>
    <t>E6</t>
  </si>
  <si>
    <t>Mobilité durable</t>
  </si>
  <si>
    <t>2 vélos classiques mis à disposition. Déplacements à pieds préconisé dans la médina</t>
  </si>
  <si>
    <t>👥 PILIER SOCIAL  –  7 indicateurs  –  Score = Moyenne des 7 notes /100</t>
  </si>
  <si>
    <t>S1</t>
  </si>
  <si>
    <t xml:space="preserve">Emploi local &amp; formation
% personnel région </t>
  </si>
  <si>
    <t>100% du personnel originaire Marrakech. Convention OFPPT 09/2023 (2 stagiaires/an).</t>
  </si>
  <si>
    <t>S2</t>
  </si>
  <si>
    <t xml:space="preserve">Conditions de travail &amp; CNSS
CDI/CDD légaux | SMIG respecté | CNSS 100% </t>
  </si>
  <si>
    <t xml:space="preserve">3 CDI + 2 CDD. CNSS à jour (attestation transmise).  Tous les salariés au-dessus SMIG. </t>
  </si>
  <si>
    <t>S3</t>
  </si>
  <si>
    <t xml:space="preserve">Égalité &amp; diversité
% femmes encadrement </t>
  </si>
  <si>
    <t xml:space="preserve">3 femmes sur 5 salariés. Égalité salariale H/F ok. </t>
  </si>
  <si>
    <t>S4</t>
  </si>
  <si>
    <t>Tourisme responsable
Charte anti-tourisme sexuel affichée | Formation staff | Protocole signalement</t>
  </si>
  <si>
    <t>Code conduite affiché (AR/FR/EN). Formation sensibilisation 03/2024. Charte ONMT signée 2022. Pas de protocole signalement formalisé ni partenariat asso protection enfance.</t>
  </si>
  <si>
    <t>S5</t>
  </si>
  <si>
    <t>Bien-être &amp; expérience client
Menu végétarien | Allergènes | Guide écoresponsable | Note OTA</t>
  </si>
  <si>
    <t xml:space="preserve">Options végétariennes pour les menues. Carte allergènes. Note Booking 9/10 (284 avis). </t>
  </si>
  <si>
    <t>⚖  PILIER GOUVERNANCE  –  4 indicateurs  –  Score = Moyenne des 4 notes /100</t>
  </si>
  <si>
    <t>G1</t>
  </si>
  <si>
    <t>Transparence &amp; conformité fiscale
IS/TVA à jour | Zéro redressement | Adhésion CGA | Comptabilité certifiée EC</t>
  </si>
  <si>
    <t xml:space="preserve">Conformité fisclae ok validé avec l'expert-comptable marocain. Patente + taxes réglées. Zéro redressement </t>
  </si>
  <si>
    <t>G2</t>
  </si>
  <si>
    <t xml:space="preserve">Conformité réglementaire
Classement ONMT | Licence alcool | Certif. incendie </t>
  </si>
  <si>
    <t xml:space="preserve">Classement ONMT 4 clés valide. Licence alcool valide 06/2021. Certif. incendie à renouveler mars 2024. </t>
  </si>
  <si>
    <t>G3</t>
  </si>
  <si>
    <t>Éthique &amp; anti-corruption
Code de conduite signé</t>
  </si>
  <si>
    <t xml:space="preserve">Aucun code conduite formalisé. </t>
  </si>
  <si>
    <t>G4</t>
  </si>
  <si>
    <t>Protection des données (CNDP/RGPD)</t>
  </si>
  <si>
    <t xml:space="preserve">Politique confidentialité site. Registre RGPD  formalisé. </t>
  </si>
  <si>
    <t>RÉCAPITULATIF PAR PILIER</t>
  </si>
  <si>
    <t>PILIER</t>
  </si>
  <si>
    <t>INDICATEURS</t>
  </si>
  <si>
    <t>MOY. SCORE /3</t>
  </si>
  <si>
    <t>SCORE /100</t>
  </si>
  <si>
    <t>NIVEAU</t>
  </si>
  <si>
    <t>🌿 E</t>
  </si>
  <si>
    <t>E1  •  E2  •  E3  •  E4  •  E5  •  E6</t>
  </si>
  <si>
    <t>👥 S</t>
  </si>
  <si>
    <t xml:space="preserve">S1  •  S2  •  S3  •  S4  •  S5  </t>
  </si>
  <si>
    <t>⚖ G</t>
  </si>
  <si>
    <t>G1  •  G2  •  G3  •  G4</t>
  </si>
  <si>
    <t>🏆  SCORE RSE GLOBAL  =  Moyenne des 3 piliers  (ENV + SOC + GOV) / 3</t>
  </si>
  <si>
    <t>Formules automatiques - NE PAS MODIFIER</t>
  </si>
  <si>
    <t>Cellules de SAISIE - sélectionner Niveau 1, 2, 3 ou 4 dans la liste déroulante</t>
  </si>
  <si>
    <t>NIVEAU 1 - INSUFFISANT : Indicateur ou pilier absent. Actions correctives urgentes.</t>
  </si>
  <si>
    <t>NIVEAU 2 - EN DÉVELOPPEMENT : Démarche initiée, non formalisée</t>
  </si>
  <si>
    <t>NIVEAU 3 - AVANCÉ : Pratiques solides. Consolidation et certification recommandées.</t>
  </si>
  <si>
    <t>NIVEAU 4 - LEADER RSE : Maturité exemplaire. Valorisation et communication recommandées.</t>
  </si>
  <si>
    <t>OUTIL RSE - TOURISME DURABLE MAROC
Guide d'utilisation &amp; Méthodologie</t>
  </si>
  <si>
    <t>Ce document est un outil de conseil. Il ne constitue pas une certification RSE.</t>
  </si>
  <si>
    <t>15 indicateurs  •  3 piliers (ENV / SOC / GOV)  •  Exercice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</si>
</sst>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  <charset val="1"/>
    </font>
    <font>
      <sz val="9"/>
      <color rgb="FFCCCCCC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9"/>
      <color rgb="FF004D5A"/>
      <name val="Arial"/>
      <family val="2"/>
      <charset val="1"/>
    </font>
    <font>
      <sz val="10"/>
      <color rgb="FF212121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B71C1C"/>
      <name val="Arial"/>
      <family val="2"/>
      <charset val="1"/>
    </font>
    <font>
      <b/>
      <sz val="9"/>
      <color rgb="FFE65100"/>
      <name val="Arial"/>
      <family val="2"/>
      <charset val="1"/>
    </font>
    <font>
      <b/>
      <sz val="9"/>
      <color rgb="FFF57F17"/>
      <name val="Arial"/>
      <family val="2"/>
      <charset val="1"/>
    </font>
    <font>
      <b/>
      <sz val="9"/>
      <color rgb="FF1B5E20"/>
      <name val="Arial"/>
      <family val="2"/>
      <charset val="1"/>
    </font>
    <font>
      <b/>
      <sz val="9"/>
      <color rgb="FF0D47A1"/>
      <name val="Arial"/>
      <family val="2"/>
      <charset val="1"/>
    </font>
    <font>
      <sz val="9"/>
      <color rgb="FF212121"/>
      <name val="Arial"/>
      <family val="2"/>
      <charset val="1"/>
    </font>
    <font>
      <b/>
      <sz val="9"/>
      <color rgb="FF212121"/>
      <name val="Arial"/>
      <family val="2"/>
      <charset val="1"/>
    </font>
    <font>
      <b/>
      <sz val="9"/>
      <color rgb="FF1A237E"/>
      <name val="Arial"/>
      <family val="2"/>
      <charset val="1"/>
    </font>
    <font>
      <b/>
      <sz val="9"/>
      <color rgb="FF4A148C"/>
      <name val="Arial"/>
      <family val="2"/>
      <charset val="1"/>
    </font>
    <font>
      <b/>
      <sz val="18"/>
      <color rgb="FFFFFFFF"/>
      <name val="Arial"/>
      <family val="2"/>
      <charset val="1"/>
    </font>
    <font>
      <sz val="10"/>
      <color rgb="FF0D47A1"/>
      <name val="Arial"/>
      <family val="2"/>
      <charset val="1"/>
    </font>
    <font>
      <sz val="12"/>
      <color theme="1"/>
      <name val="Calibri"/>
      <family val="2"/>
      <charset val="1"/>
    </font>
    <font>
      <sz val="10"/>
      <color theme="0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color rgb="FF212121"/>
      <name val="Arial"/>
      <family val="2"/>
      <charset val="1"/>
    </font>
    <font>
      <b/>
      <sz val="14"/>
      <color rgb="FF0D47A1"/>
      <name val="Arial"/>
      <family val="2"/>
      <charset val="1"/>
    </font>
    <font>
      <sz val="12"/>
      <color rgb="FF212121"/>
      <name val="Arial"/>
      <family val="2"/>
      <charset val="1"/>
    </font>
    <font>
      <b/>
      <sz val="13"/>
      <color rgb="FF1B5E20"/>
      <name val="Arial"/>
      <family val="2"/>
      <charset val="1"/>
    </font>
    <font>
      <b/>
      <sz val="13"/>
      <color rgb="FF1A237E"/>
      <name val="Arial"/>
      <family val="2"/>
      <charset val="1"/>
    </font>
    <font>
      <b/>
      <sz val="13"/>
      <color rgb="FF4A148C"/>
      <name val="Arial"/>
      <family val="2"/>
      <charset val="1"/>
    </font>
    <font>
      <sz val="11"/>
      <color theme="1"/>
      <name val="Arial"/>
      <family val="2"/>
      <charset val="1"/>
    </font>
    <font>
      <b/>
      <sz val="12"/>
      <color rgb="FF1B5E20"/>
      <name val="Arial"/>
      <family val="2"/>
      <charset val="1"/>
    </font>
    <font>
      <b/>
      <sz val="9"/>
      <color rgb="FF333333"/>
      <name val="Arial"/>
      <family val="2"/>
      <charset val="1"/>
    </font>
    <font>
      <b/>
      <sz val="12"/>
      <color rgb="FF1A237E"/>
      <name val="Arial"/>
      <family val="2"/>
      <charset val="1"/>
    </font>
    <font>
      <b/>
      <sz val="12"/>
      <color rgb="FF4A148C"/>
      <name val="Arial"/>
      <family val="2"/>
      <charset val="1"/>
    </font>
    <font>
      <b/>
      <sz val="14"/>
      <color rgb="FFFFD700"/>
      <name val="Arial"/>
      <family val="2"/>
      <charset val="1"/>
    </font>
    <font>
      <b/>
      <sz val="12"/>
      <color rgb="FFFFD700"/>
      <name val="Arial"/>
      <family val="2"/>
      <charset val="1"/>
    </font>
    <font>
      <b/>
      <sz val="10"/>
      <color rgb="FFFF0000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004D5A"/>
        <bgColor rgb="FF0D47A1"/>
      </patternFill>
    </fill>
    <fill>
      <patternFill patternType="solid">
        <fgColor rgb="FF006B7A"/>
        <bgColor rgb="FF008080"/>
      </patternFill>
    </fill>
    <fill>
      <patternFill patternType="solid">
        <fgColor rgb="FFB2EBF2"/>
        <bgColor rgb="FFC8E6C9"/>
      </patternFill>
    </fill>
    <fill>
      <patternFill patternType="solid">
        <fgColor rgb="FFF9FAFB"/>
        <bgColor rgb="FFFAF4FC"/>
      </patternFill>
    </fill>
    <fill>
      <patternFill patternType="solid">
        <fgColor rgb="FF388E3C"/>
        <bgColor rgb="FF008080"/>
      </patternFill>
    </fill>
    <fill>
      <patternFill patternType="solid">
        <fgColor rgb="FFF1F8F2"/>
        <bgColor rgb="FFF2F2F2"/>
      </patternFill>
    </fill>
    <fill>
      <patternFill patternType="solid">
        <fgColor rgb="FF3949AB"/>
        <bgColor rgb="FF0D47A1"/>
      </patternFill>
    </fill>
    <fill>
      <patternFill patternType="solid">
        <fgColor rgb="FFF3F4FC"/>
        <bgColor rgb="FFF2F2F2"/>
      </patternFill>
    </fill>
    <fill>
      <patternFill patternType="solid">
        <fgColor rgb="FF7B1FA2"/>
        <bgColor rgb="FF800080"/>
      </patternFill>
    </fill>
    <fill>
      <patternFill patternType="solid">
        <fgColor rgb="FFFAF4FC"/>
        <bgColor rgb="FFF3F4FC"/>
      </patternFill>
    </fill>
    <fill>
      <patternFill patternType="solid">
        <fgColor rgb="FFE0F7FA"/>
        <bgColor rgb="FFF1F8F2"/>
      </patternFill>
    </fill>
    <fill>
      <patternFill patternType="solid">
        <fgColor rgb="FF1A2B2F"/>
        <bgColor rgb="FF212121"/>
      </patternFill>
    </fill>
    <fill>
      <patternFill patternType="solid">
        <fgColor rgb="FFB71C1C"/>
        <bgColor rgb="FF993366"/>
      </patternFill>
    </fill>
    <fill>
      <patternFill patternType="solid">
        <fgColor rgb="FFF2F2F2"/>
        <bgColor rgb="FFF3F4FC"/>
      </patternFill>
    </fill>
    <fill>
      <patternFill patternType="solid">
        <fgColor rgb="FFE65100"/>
        <bgColor rgb="FFF57F17"/>
      </patternFill>
    </fill>
    <fill>
      <patternFill patternType="solid">
        <fgColor rgb="FFF57F17"/>
        <bgColor rgb="FFFF8080"/>
      </patternFill>
    </fill>
    <fill>
      <patternFill patternType="solid">
        <fgColor rgb="FF1B5E20"/>
        <bgColor rgb="FF004D5A"/>
      </patternFill>
    </fill>
    <fill>
      <patternFill patternType="solid">
        <fgColor rgb="FFFFFDE7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C8E6C9"/>
        <bgColor rgb="FFB2EBF2"/>
      </patternFill>
    </fill>
    <fill>
      <patternFill patternType="solid">
        <fgColor rgb="FF1A237E"/>
        <bgColor rgb="FF1A2B2F"/>
      </patternFill>
    </fill>
    <fill>
      <patternFill patternType="solid">
        <fgColor rgb="FFC5CAE9"/>
        <bgColor rgb="FFCCCCCC"/>
      </patternFill>
    </fill>
    <fill>
      <patternFill patternType="solid">
        <fgColor rgb="FF4A148C"/>
        <bgColor rgb="FF7B1FA2"/>
      </patternFill>
    </fill>
    <fill>
      <patternFill patternType="solid">
        <fgColor rgb="FFE1BEE7"/>
        <bgColor rgb="FFC5CAE9"/>
      </patternFill>
    </fill>
  </fills>
  <borders count="5">
    <border>
      <left/>
      <right/>
      <top/>
      <bottom/>
      <diagonal/>
    </border>
    <border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1" fillId="24" borderId="1" xfId="0" applyFont="1" applyFill="1" applyBorder="1" applyAlignment="1">
      <alignment horizontal="left" vertical="center"/>
    </xf>
    <xf numFmtId="0" fontId="21" fillId="22" borderId="1" xfId="0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 wrapText="1"/>
    </xf>
    <xf numFmtId="0" fontId="12" fillId="19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 wrapText="1"/>
    </xf>
    <xf numFmtId="0" fontId="14" fillId="20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8" fillId="19" borderId="2" xfId="0" applyFont="1" applyFill="1" applyBorder="1" applyAlignment="1">
      <alignment horizontal="left" vertical="center" wrapText="1"/>
    </xf>
    <xf numFmtId="0" fontId="19" fillId="0" borderId="0" xfId="0" applyFont="1"/>
    <xf numFmtId="0" fontId="21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left" vertical="center" wrapText="1"/>
    </xf>
    <xf numFmtId="1" fontId="23" fillId="19" borderId="4" xfId="0" applyNumberFormat="1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left" vertical="center" wrapText="1"/>
    </xf>
    <xf numFmtId="1" fontId="25" fillId="21" borderId="2" xfId="0" applyNumberFormat="1" applyFont="1" applyFill="1" applyBorder="1" applyAlignment="1">
      <alignment horizontal="center" vertical="center"/>
    </xf>
    <xf numFmtId="0" fontId="21" fillId="22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left" vertical="center" wrapText="1"/>
    </xf>
    <xf numFmtId="1" fontId="26" fillId="23" borderId="2" xfId="0" applyNumberFormat="1" applyFont="1" applyFill="1" applyBorder="1" applyAlignment="1">
      <alignment horizontal="center" vertical="center"/>
    </xf>
    <xf numFmtId="0" fontId="21" fillId="24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left" vertical="center" wrapText="1"/>
    </xf>
    <xf numFmtId="1" fontId="27" fillId="25" borderId="2" xfId="0" applyNumberFormat="1" applyFont="1" applyFill="1" applyBorder="1" applyAlignment="1">
      <alignment horizontal="center" vertical="center"/>
    </xf>
    <xf numFmtId="0" fontId="0" fillId="2" borderId="0" xfId="0" applyFill="1"/>
    <xf numFmtId="0" fontId="19" fillId="2" borderId="0" xfId="0" applyFont="1" applyFill="1"/>
    <xf numFmtId="0" fontId="2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horizontal="left" vertical="center" wrapText="1"/>
    </xf>
    <xf numFmtId="2" fontId="29" fillId="7" borderId="2" xfId="0" applyNumberFormat="1" applyFont="1" applyFill="1" applyBorder="1" applyAlignment="1">
      <alignment horizontal="center" vertical="center"/>
    </xf>
    <xf numFmtId="164" fontId="29" fillId="7" borderId="2" xfId="0" applyNumberFormat="1" applyFont="1" applyFill="1" applyBorder="1" applyAlignment="1">
      <alignment horizontal="center" vertical="center"/>
    </xf>
    <xf numFmtId="0" fontId="30" fillId="15" borderId="2" xfId="0" applyFont="1" applyFill="1" applyBorder="1" applyAlignment="1">
      <alignment horizontal="center" vertical="center"/>
    </xf>
    <xf numFmtId="0" fontId="21" fillId="22" borderId="2" xfId="0" applyFont="1" applyFill="1" applyBorder="1" applyAlignment="1">
      <alignment horizontal="left" vertical="center" wrapText="1"/>
    </xf>
    <xf numFmtId="0" fontId="28" fillId="9" borderId="2" xfId="0" applyFont="1" applyFill="1" applyBorder="1" applyAlignment="1">
      <alignment horizontal="left" vertical="center" wrapText="1"/>
    </xf>
    <xf numFmtId="2" fontId="31" fillId="9" borderId="2" xfId="0" applyNumberFormat="1" applyFont="1" applyFill="1" applyBorder="1" applyAlignment="1">
      <alignment horizontal="center" vertical="center"/>
    </xf>
    <xf numFmtId="164" fontId="31" fillId="9" borderId="2" xfId="0" applyNumberFormat="1" applyFont="1" applyFill="1" applyBorder="1" applyAlignment="1">
      <alignment horizontal="center" vertical="center"/>
    </xf>
    <xf numFmtId="0" fontId="21" fillId="24" borderId="2" xfId="0" applyFont="1" applyFill="1" applyBorder="1" applyAlignment="1">
      <alignment horizontal="left" vertical="center" wrapText="1"/>
    </xf>
    <xf numFmtId="0" fontId="28" fillId="11" borderId="2" xfId="0" applyFont="1" applyFill="1" applyBorder="1" applyAlignment="1">
      <alignment horizontal="left" vertical="center" wrapText="1"/>
    </xf>
    <xf numFmtId="2" fontId="32" fillId="11" borderId="2" xfId="0" applyNumberFormat="1" applyFont="1" applyFill="1" applyBorder="1" applyAlignment="1">
      <alignment horizontal="center" vertical="center"/>
    </xf>
    <xf numFmtId="164" fontId="32" fillId="11" borderId="2" xfId="0" applyNumberFormat="1" applyFont="1" applyFill="1" applyBorder="1" applyAlignment="1">
      <alignment horizontal="center" vertical="center"/>
    </xf>
    <xf numFmtId="2" fontId="33" fillId="2" borderId="4" xfId="0" applyNumberFormat="1" applyFont="1" applyFill="1" applyBorder="1" applyAlignment="1">
      <alignment horizontal="center" vertical="center"/>
    </xf>
    <xf numFmtId="164" fontId="34" fillId="2" borderId="4" xfId="0" applyNumberFormat="1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3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AFB"/>
      <rgbColor rgb="FFFF00FF"/>
      <rgbColor rgb="FF00FFFF"/>
      <rgbColor rgb="FF800000"/>
      <rgbColor rgb="FF1B5E20"/>
      <rgbColor rgb="FF1A237E"/>
      <rgbColor rgb="FF808000"/>
      <rgbColor rgb="FF7B1FA2"/>
      <rgbColor rgb="FF006B7A"/>
      <rgbColor rgb="FFCCCCCC"/>
      <rgbColor rgb="FF808080"/>
      <rgbColor rgb="FF9999FF"/>
      <rgbColor rgb="FF993366"/>
      <rgbColor rgb="FFFFFDE7"/>
      <rgbColor rgb="FFE0F7FA"/>
      <rgbColor rgb="FF4A148C"/>
      <rgbColor rgb="FFFF8080"/>
      <rgbColor rgb="FF0D47A1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2EBF2"/>
      <rgbColor rgb="FFC8E6C9"/>
      <rgbColor rgb="FFF1F8F2"/>
      <rgbColor rgb="FFF3F4FC"/>
      <rgbColor rgb="FFFAF4FC"/>
      <rgbColor rgb="FFE1BEE7"/>
      <rgbColor rgb="FFF2F2F2"/>
      <rgbColor rgb="FF3366FF"/>
      <rgbColor rgb="FF33CCCC"/>
      <rgbColor rgb="FF99CC00"/>
      <rgbColor rgb="FFFFD700"/>
      <rgbColor rgb="FFF57F17"/>
      <rgbColor rgb="FFE65100"/>
      <rgbColor rgb="FF444444"/>
      <rgbColor rgb="FF969696"/>
      <rgbColor rgb="FF004D5A"/>
      <rgbColor rgb="FF388E3C"/>
      <rgbColor rgb="FF1A2B2F"/>
      <rgbColor rgb="FF212121"/>
      <rgbColor rgb="FFB71C1C"/>
      <rgbColor rgb="FF993366"/>
      <rgbColor rgb="FF3949A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25560</xdr:colOff>
      <xdr:row>4</xdr:row>
      <xdr:rowOff>38160</xdr:rowOff>
    </xdr:from>
    <xdr:to>
      <xdr:col>3</xdr:col>
      <xdr:colOff>1832040</xdr:colOff>
      <xdr:row>24</xdr:row>
      <xdr:rowOff>126720</xdr:rowOff>
    </xdr:to>
    <xdr:pic>
      <xdr:nvPicPr>
        <xdr:cNvPr id="2" name="Image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12443"/>
        <a:stretch/>
      </xdr:blipFill>
      <xdr:spPr>
        <a:xfrm>
          <a:off x="166680" y="1152720"/>
          <a:ext cx="6105960" cy="427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1930400</xdr:colOff>
      <xdr:row>4</xdr:row>
      <xdr:rowOff>63360</xdr:rowOff>
    </xdr:from>
    <xdr:to>
      <xdr:col>5</xdr:col>
      <xdr:colOff>12240</xdr:colOff>
      <xdr:row>24</xdr:row>
      <xdr:rowOff>101160</xdr:rowOff>
    </xdr:to>
    <xdr:pic>
      <xdr:nvPicPr>
        <xdr:cNvPr id="3" name="Imag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t="3283" r="10438" b="251"/>
        <a:stretch/>
      </xdr:blipFill>
      <xdr:spPr>
        <a:xfrm>
          <a:off x="6731000" y="1155560"/>
          <a:ext cx="2730040" cy="4101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9"/>
  <sheetViews>
    <sheetView showGridLines="0" tabSelected="1" topLeftCell="A8" zoomScale="108" zoomScaleNormal="108" workbookViewId="0">
      <selection activeCell="G6" sqref="G6"/>
    </sheetView>
  </sheetViews>
  <sheetFormatPr baseColWidth="10" defaultColWidth="8.6640625" defaultRowHeight="15" x14ac:dyDescent="0.2"/>
  <cols>
    <col min="1" max="1" width="2" customWidth="1"/>
    <col min="2" max="2" width="26" customWidth="1"/>
    <col min="3" max="3" width="63.1640625" customWidth="1"/>
    <col min="4" max="4" width="2" customWidth="1"/>
  </cols>
  <sheetData>
    <row r="1" spans="2:3" ht="6" customHeight="1" x14ac:dyDescent="0.2"/>
    <row r="2" spans="2:3" ht="54.75" customHeight="1" x14ac:dyDescent="0.2">
      <c r="B2" s="12" t="s">
        <v>147</v>
      </c>
      <c r="C2" s="12"/>
    </row>
    <row r="3" spans="2:3" ht="19.5" customHeight="1" x14ac:dyDescent="0.2">
      <c r="B3" s="11" t="s">
        <v>0</v>
      </c>
      <c r="C3" s="11"/>
    </row>
    <row r="4" spans="2:3" ht="7.5" customHeight="1" x14ac:dyDescent="0.2"/>
    <row r="5" spans="2:3" ht="24" customHeight="1" x14ac:dyDescent="0.2">
      <c r="B5" s="10" t="s">
        <v>1</v>
      </c>
      <c r="C5" s="10"/>
    </row>
    <row r="6" spans="2:3" ht="48" customHeight="1" x14ac:dyDescent="0.2">
      <c r="B6" s="13" t="s">
        <v>2</v>
      </c>
      <c r="C6" s="14" t="s">
        <v>3</v>
      </c>
    </row>
    <row r="7" spans="2:3" ht="37.5" customHeight="1" x14ac:dyDescent="0.2">
      <c r="B7" s="13" t="s">
        <v>4</v>
      </c>
      <c r="C7" s="14" t="s">
        <v>5</v>
      </c>
    </row>
    <row r="8" spans="2:3" ht="33.75" customHeight="1" x14ac:dyDescent="0.2">
      <c r="B8" s="13" t="s">
        <v>6</v>
      </c>
      <c r="C8" s="14" t="s">
        <v>7</v>
      </c>
    </row>
    <row r="9" spans="2:3" ht="6" customHeight="1" x14ac:dyDescent="0.2"/>
    <row r="10" spans="2:3" ht="24" customHeight="1" x14ac:dyDescent="0.2">
      <c r="B10" s="10" t="s">
        <v>8</v>
      </c>
      <c r="C10" s="10"/>
    </row>
    <row r="11" spans="2:3" ht="69.75" customHeight="1" x14ac:dyDescent="0.2">
      <c r="B11" s="15" t="s">
        <v>9</v>
      </c>
      <c r="C11" s="16" t="s">
        <v>10</v>
      </c>
    </row>
    <row r="12" spans="2:3" ht="69.75" customHeight="1" x14ac:dyDescent="0.2">
      <c r="B12" s="17" t="s">
        <v>11</v>
      </c>
      <c r="C12" s="18" t="s">
        <v>12</v>
      </c>
    </row>
    <row r="13" spans="2:3" ht="69.75" customHeight="1" x14ac:dyDescent="0.2">
      <c r="B13" s="19" t="s">
        <v>13</v>
      </c>
      <c r="C13" s="20" t="s">
        <v>14</v>
      </c>
    </row>
    <row r="14" spans="2:3" ht="69.75" customHeight="1" x14ac:dyDescent="0.2">
      <c r="B14" s="21" t="s">
        <v>15</v>
      </c>
      <c r="C14" s="22" t="s">
        <v>16</v>
      </c>
    </row>
    <row r="15" spans="2:3" ht="6" customHeight="1" x14ac:dyDescent="0.2"/>
    <row r="16" spans="2:3" ht="24" customHeight="1" x14ac:dyDescent="0.2">
      <c r="B16" s="10" t="s">
        <v>17</v>
      </c>
      <c r="C16" s="10"/>
    </row>
    <row r="17" spans="2:3" ht="19.5" customHeight="1" x14ac:dyDescent="0.2">
      <c r="B17" s="23" t="s">
        <v>18</v>
      </c>
      <c r="C17" s="23" t="s">
        <v>19</v>
      </c>
    </row>
    <row r="18" spans="2:3" ht="24" customHeight="1" x14ac:dyDescent="0.2">
      <c r="B18" s="24" t="s">
        <v>20</v>
      </c>
      <c r="C18" s="25" t="s">
        <v>143</v>
      </c>
    </row>
    <row r="19" spans="2:3" ht="24" customHeight="1" x14ac:dyDescent="0.2">
      <c r="B19" s="26" t="s">
        <v>21</v>
      </c>
      <c r="C19" s="27" t="s">
        <v>144</v>
      </c>
    </row>
    <row r="20" spans="2:3" ht="24" customHeight="1" x14ac:dyDescent="0.2">
      <c r="B20" s="28" t="s">
        <v>22</v>
      </c>
      <c r="C20" s="29" t="s">
        <v>145</v>
      </c>
    </row>
    <row r="21" spans="2:3" ht="24" customHeight="1" x14ac:dyDescent="0.2">
      <c r="B21" s="30" t="s">
        <v>23</v>
      </c>
      <c r="C21" s="31" t="s">
        <v>146</v>
      </c>
    </row>
    <row r="22" spans="2:3" ht="6" customHeight="1" x14ac:dyDescent="0.2"/>
    <row r="23" spans="2:3" ht="24" customHeight="1" x14ac:dyDescent="0.2">
      <c r="B23" s="10" t="s">
        <v>24</v>
      </c>
      <c r="C23" s="10"/>
    </row>
    <row r="24" spans="2:3" ht="21.75" customHeight="1" x14ac:dyDescent="0.2">
      <c r="B24" s="32" t="s">
        <v>25</v>
      </c>
      <c r="C24" s="33" t="s">
        <v>142</v>
      </c>
    </row>
    <row r="25" spans="2:3" ht="21.75" customHeight="1" x14ac:dyDescent="0.2">
      <c r="B25" s="34" t="s">
        <v>26</v>
      </c>
      <c r="C25" s="33" t="s">
        <v>141</v>
      </c>
    </row>
    <row r="26" spans="2:3" ht="21.75" customHeight="1" x14ac:dyDescent="0.2">
      <c r="B26" s="35" t="s">
        <v>27</v>
      </c>
      <c r="C26" s="33" t="s">
        <v>28</v>
      </c>
    </row>
    <row r="27" spans="2:3" ht="21.75" customHeight="1" x14ac:dyDescent="0.2">
      <c r="B27" s="36" t="s">
        <v>29</v>
      </c>
      <c r="C27" s="33" t="s">
        <v>30</v>
      </c>
    </row>
    <row r="28" spans="2:3" ht="21.75" customHeight="1" x14ac:dyDescent="0.2">
      <c r="B28" s="37" t="s">
        <v>31</v>
      </c>
      <c r="C28" s="33" t="s">
        <v>32</v>
      </c>
    </row>
    <row r="29" spans="2:3" ht="21.75" customHeight="1" x14ac:dyDescent="0.2">
      <c r="B29" s="38" t="s">
        <v>33</v>
      </c>
      <c r="C29" s="33" t="s">
        <v>34</v>
      </c>
    </row>
  </sheetData>
  <mergeCells count="6">
    <mergeCell ref="B23:C23"/>
    <mergeCell ref="B2:C2"/>
    <mergeCell ref="B3:C3"/>
    <mergeCell ref="B5:C5"/>
    <mergeCell ref="B10:C10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1"/>
  <sheetViews>
    <sheetView showGridLines="0" topLeftCell="A9" zoomScaleNormal="100" workbookViewId="0">
      <selection activeCell="C38" sqref="C38:E38"/>
    </sheetView>
  </sheetViews>
  <sheetFormatPr baseColWidth="10" defaultColWidth="8.6640625" defaultRowHeight="15" x14ac:dyDescent="0.2"/>
  <cols>
    <col min="1" max="1" width="2" customWidth="1"/>
    <col min="2" max="2" width="26" customWidth="1"/>
    <col min="3" max="3" width="35" customWidth="1"/>
    <col min="4" max="4" width="26" customWidth="1"/>
    <col min="5" max="5" width="35" customWidth="1"/>
    <col min="6" max="6" width="2" customWidth="1"/>
  </cols>
  <sheetData>
    <row r="1" spans="2:5" ht="6" customHeight="1" x14ac:dyDescent="0.2"/>
    <row r="2" spans="2:5" ht="54.75" customHeight="1" x14ac:dyDescent="0.2">
      <c r="B2" s="9" t="s">
        <v>35</v>
      </c>
      <c r="C2" s="9"/>
      <c r="D2" s="9"/>
      <c r="E2" s="9"/>
    </row>
    <row r="3" spans="2:5" ht="19.5" customHeight="1" x14ac:dyDescent="0.2">
      <c r="B3" s="11" t="s">
        <v>36</v>
      </c>
      <c r="C3" s="11"/>
      <c r="D3" s="11"/>
      <c r="E3" s="11"/>
    </row>
    <row r="4" spans="2:5" ht="7.5" customHeight="1" x14ac:dyDescent="0.2"/>
    <row r="5" spans="2:5" ht="16.5" customHeight="1" x14ac:dyDescent="0.2"/>
    <row r="6" spans="2:5" ht="16.5" customHeight="1" x14ac:dyDescent="0.2"/>
    <row r="7" spans="2:5" ht="16.5" customHeight="1" x14ac:dyDescent="0.2"/>
    <row r="8" spans="2:5" ht="16.5" customHeight="1" x14ac:dyDescent="0.2"/>
    <row r="9" spans="2:5" ht="16.5" customHeight="1" x14ac:dyDescent="0.2"/>
    <row r="10" spans="2:5" ht="16.5" customHeight="1" x14ac:dyDescent="0.2"/>
    <row r="11" spans="2:5" ht="16.5" customHeight="1" x14ac:dyDescent="0.2"/>
    <row r="12" spans="2:5" ht="16.5" customHeight="1" x14ac:dyDescent="0.2"/>
    <row r="13" spans="2:5" ht="16.5" customHeight="1" x14ac:dyDescent="0.2"/>
    <row r="14" spans="2:5" ht="16.5" customHeight="1" x14ac:dyDescent="0.2"/>
    <row r="15" spans="2:5" ht="16.5" customHeight="1" x14ac:dyDescent="0.2"/>
    <row r="16" spans="2:5" ht="16.5" customHeight="1" x14ac:dyDescent="0.2"/>
    <row r="17" spans="2:5" ht="16.5" customHeight="1" x14ac:dyDescent="0.2"/>
    <row r="18" spans="2:5" ht="16.5" customHeight="1" x14ac:dyDescent="0.2"/>
    <row r="19" spans="2:5" ht="16.5" customHeight="1" x14ac:dyDescent="0.2"/>
    <row r="20" spans="2:5" ht="16.5" customHeight="1" x14ac:dyDescent="0.2"/>
    <row r="21" spans="2:5" ht="16.5" customHeight="1" x14ac:dyDescent="0.2"/>
    <row r="22" spans="2:5" ht="16.5" customHeight="1" x14ac:dyDescent="0.2"/>
    <row r="23" spans="2:5" ht="16.5" customHeight="1" x14ac:dyDescent="0.2"/>
    <row r="24" spans="2:5" ht="16.5" customHeight="1" x14ac:dyDescent="0.2"/>
    <row r="26" spans="2:5" ht="6" customHeight="1" x14ac:dyDescent="0.2"/>
    <row r="27" spans="2:5" ht="24" customHeight="1" x14ac:dyDescent="0.2">
      <c r="B27" s="8" t="s">
        <v>37</v>
      </c>
      <c r="C27" s="8"/>
      <c r="D27" s="8"/>
      <c r="E27" s="8"/>
    </row>
    <row r="28" spans="2:5" ht="21.75" customHeight="1" x14ac:dyDescent="0.2">
      <c r="B28" s="13" t="s">
        <v>38</v>
      </c>
      <c r="C28" s="39" t="s">
        <v>39</v>
      </c>
      <c r="D28" s="13" t="s">
        <v>40</v>
      </c>
      <c r="E28" s="39" t="s">
        <v>41</v>
      </c>
    </row>
    <row r="29" spans="2:5" ht="21.75" customHeight="1" x14ac:dyDescent="0.2">
      <c r="B29" s="13" t="s">
        <v>42</v>
      </c>
      <c r="C29" s="39" t="s">
        <v>43</v>
      </c>
      <c r="D29" s="13" t="s">
        <v>44</v>
      </c>
      <c r="E29" s="39" t="s">
        <v>45</v>
      </c>
    </row>
    <row r="30" spans="2:5" ht="21.75" customHeight="1" x14ac:dyDescent="0.2">
      <c r="B30" s="13" t="s">
        <v>46</v>
      </c>
      <c r="C30" s="39" t="s">
        <v>47</v>
      </c>
      <c r="D30" s="13" t="s">
        <v>48</v>
      </c>
      <c r="E30" s="39">
        <v>2021</v>
      </c>
    </row>
    <row r="31" spans="2:5" ht="21.75" customHeight="1" x14ac:dyDescent="0.2">
      <c r="B31" s="13" t="s">
        <v>49</v>
      </c>
      <c r="C31" s="39" t="s">
        <v>50</v>
      </c>
      <c r="D31" s="13" t="s">
        <v>51</v>
      </c>
      <c r="E31" s="39" t="s">
        <v>52</v>
      </c>
    </row>
    <row r="32" spans="2:5" ht="21.75" customHeight="1" x14ac:dyDescent="0.2">
      <c r="B32" s="13" t="s">
        <v>53</v>
      </c>
      <c r="C32" s="39" t="s">
        <v>54</v>
      </c>
      <c r="D32" s="13" t="s">
        <v>55</v>
      </c>
      <c r="E32" s="39" t="s">
        <v>56</v>
      </c>
    </row>
    <row r="33" spans="2:5" ht="27.75" customHeight="1" x14ac:dyDescent="0.2">
      <c r="B33" s="13" t="s">
        <v>57</v>
      </c>
      <c r="C33" s="39" t="s">
        <v>58</v>
      </c>
      <c r="D33" s="13" t="s">
        <v>59</v>
      </c>
      <c r="E33" s="39" t="s">
        <v>60</v>
      </c>
    </row>
    <row r="35" spans="2:5" ht="6" customHeight="1" x14ac:dyDescent="0.2"/>
    <row r="36" spans="2:5" ht="24" customHeight="1" x14ac:dyDescent="0.2">
      <c r="B36" s="8" t="s">
        <v>61</v>
      </c>
      <c r="C36" s="8"/>
      <c r="D36" s="8"/>
      <c r="E36" s="8"/>
    </row>
    <row r="37" spans="2:5" ht="30" customHeight="1" x14ac:dyDescent="0.2">
      <c r="B37" s="13" t="s">
        <v>62</v>
      </c>
      <c r="C37" s="7" t="s">
        <v>63</v>
      </c>
      <c r="D37" s="7"/>
      <c r="E37" s="7"/>
    </row>
    <row r="38" spans="2:5" ht="30" customHeight="1" x14ac:dyDescent="0.2">
      <c r="B38" s="13" t="s">
        <v>64</v>
      </c>
      <c r="C38" s="7" t="s">
        <v>65</v>
      </c>
      <c r="D38" s="7"/>
      <c r="E38" s="7"/>
    </row>
    <row r="39" spans="2:5" ht="30" customHeight="1" x14ac:dyDescent="0.2">
      <c r="B39" s="13" t="s">
        <v>66</v>
      </c>
      <c r="C39" s="7" t="s">
        <v>67</v>
      </c>
      <c r="D39" s="7"/>
      <c r="E39" s="7"/>
    </row>
    <row r="40" spans="2:5" ht="21.75" customHeight="1" x14ac:dyDescent="0.2">
      <c r="B40" s="13" t="s">
        <v>68</v>
      </c>
      <c r="C40" s="7" t="s">
        <v>149</v>
      </c>
      <c r="D40" s="7"/>
      <c r="E40" s="7"/>
    </row>
    <row r="41" spans="2:5" ht="30" customHeight="1" x14ac:dyDescent="0.2">
      <c r="B41" s="13" t="s">
        <v>69</v>
      </c>
      <c r="C41" s="77" t="s">
        <v>148</v>
      </c>
      <c r="D41" s="77"/>
      <c r="E41" s="77"/>
    </row>
  </sheetData>
  <mergeCells count="9">
    <mergeCell ref="C38:E38"/>
    <mergeCell ref="C39:E39"/>
    <mergeCell ref="C40:E40"/>
    <mergeCell ref="C41:E41"/>
    <mergeCell ref="B2:E2"/>
    <mergeCell ref="B3:E3"/>
    <mergeCell ref="B27:E27"/>
    <mergeCell ref="B36:E36"/>
    <mergeCell ref="C37:E3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3"/>
  <sheetViews>
    <sheetView showGridLines="0" zoomScaleNormal="100" workbookViewId="0">
      <pane xSplit="3" ySplit="6" topLeftCell="D28" activePane="bottomRight" state="frozen"/>
      <selection pane="topRight" activeCell="D1" sqref="D1"/>
      <selection pane="bottomLeft" activeCell="A23" sqref="A23"/>
      <selection pane="bottomRight" activeCell="E37" sqref="E37"/>
    </sheetView>
  </sheetViews>
  <sheetFormatPr baseColWidth="10" defaultColWidth="8.6640625" defaultRowHeight="16" x14ac:dyDescent="0.2"/>
  <cols>
    <col min="1" max="1" width="2" customWidth="1"/>
    <col min="2" max="2" width="7" customWidth="1"/>
    <col min="3" max="3" width="35.5" customWidth="1"/>
    <col min="4" max="4" width="11.6640625" customWidth="1"/>
    <col min="5" max="5" width="63.33203125" style="40" customWidth="1"/>
    <col min="6" max="6" width="14" customWidth="1"/>
    <col min="7" max="7" width="2" customWidth="1"/>
  </cols>
  <sheetData>
    <row r="1" spans="2:6" ht="6" customHeight="1" x14ac:dyDescent="0.2"/>
    <row r="2" spans="2:6" ht="52.5" customHeight="1" x14ac:dyDescent="0.2">
      <c r="B2" s="9" t="s">
        <v>70</v>
      </c>
      <c r="C2" s="9"/>
      <c r="D2" s="9"/>
      <c r="E2" s="9"/>
      <c r="F2" s="9"/>
    </row>
    <row r="3" spans="2:6" ht="19.5" customHeight="1" x14ac:dyDescent="0.2">
      <c r="B3" s="6" t="s">
        <v>71</v>
      </c>
      <c r="C3" s="6"/>
      <c r="D3" s="6"/>
      <c r="E3" s="6"/>
      <c r="F3" s="6"/>
    </row>
    <row r="4" spans="2:6" ht="7.5" customHeight="1" x14ac:dyDescent="0.2"/>
    <row r="5" spans="2:6" ht="7.5" customHeight="1" x14ac:dyDescent="0.2"/>
    <row r="6" spans="2:6" ht="31.5" customHeight="1" x14ac:dyDescent="0.2">
      <c r="B6" s="41" t="s">
        <v>72</v>
      </c>
      <c r="C6" s="41" t="s">
        <v>73</v>
      </c>
      <c r="D6" s="42" t="s">
        <v>74</v>
      </c>
      <c r="E6" s="43" t="s">
        <v>75</v>
      </c>
      <c r="F6" s="42" t="s">
        <v>76</v>
      </c>
    </row>
    <row r="7" spans="2:6" ht="25.5" customHeight="1" x14ac:dyDescent="0.2">
      <c r="B7" s="5" t="s">
        <v>77</v>
      </c>
      <c r="C7" s="5"/>
      <c r="D7" s="5"/>
      <c r="E7" s="5"/>
      <c r="F7" s="5"/>
    </row>
    <row r="8" spans="2:6" ht="84" customHeight="1" x14ac:dyDescent="0.2">
      <c r="B8" s="44" t="s">
        <v>78</v>
      </c>
      <c r="C8" s="45" t="s">
        <v>79</v>
      </c>
      <c r="D8" s="46" t="s">
        <v>80</v>
      </c>
      <c r="E8" s="47" t="s">
        <v>81</v>
      </c>
      <c r="F8" s="48">
        <f t="shared" ref="F8:F13" si="0">IFERROR(IF(D8="Niveau 4",100,IF(D8="Niveau 3",67,IF(D8="Niveau 2",33,IF(D8="Niveau 1",0,"")))),"")</f>
        <v>33</v>
      </c>
    </row>
    <row r="9" spans="2:6" ht="93" customHeight="1" x14ac:dyDescent="0.2">
      <c r="B9" s="44" t="s">
        <v>82</v>
      </c>
      <c r="C9" s="45" t="s">
        <v>83</v>
      </c>
      <c r="D9" s="46" t="s">
        <v>80</v>
      </c>
      <c r="E9" s="47" t="s">
        <v>84</v>
      </c>
      <c r="F9" s="48">
        <f t="shared" si="0"/>
        <v>33</v>
      </c>
    </row>
    <row r="10" spans="2:6" ht="78.75" customHeight="1" x14ac:dyDescent="0.2">
      <c r="B10" s="44" t="s">
        <v>85</v>
      </c>
      <c r="C10" s="45" t="s">
        <v>86</v>
      </c>
      <c r="D10" s="46" t="s">
        <v>87</v>
      </c>
      <c r="E10" s="47" t="s">
        <v>88</v>
      </c>
      <c r="F10" s="48">
        <f t="shared" si="0"/>
        <v>67</v>
      </c>
    </row>
    <row r="11" spans="2:6" ht="94.5" customHeight="1" x14ac:dyDescent="0.2">
      <c r="B11" s="44" t="s">
        <v>89</v>
      </c>
      <c r="C11" s="45" t="s">
        <v>90</v>
      </c>
      <c r="D11" s="46" t="s">
        <v>91</v>
      </c>
      <c r="E11" s="47" t="s">
        <v>92</v>
      </c>
      <c r="F11" s="48">
        <f t="shared" si="0"/>
        <v>100</v>
      </c>
    </row>
    <row r="12" spans="2:6" ht="90" customHeight="1" x14ac:dyDescent="0.2">
      <c r="B12" s="44" t="s">
        <v>93</v>
      </c>
      <c r="C12" s="45" t="s">
        <v>94</v>
      </c>
      <c r="D12" s="46" t="s">
        <v>87</v>
      </c>
      <c r="E12" s="47" t="s">
        <v>95</v>
      </c>
      <c r="F12" s="48">
        <f t="shared" si="0"/>
        <v>67</v>
      </c>
    </row>
    <row r="13" spans="2:6" ht="72.75" customHeight="1" x14ac:dyDescent="0.2">
      <c r="B13" s="44" t="s">
        <v>96</v>
      </c>
      <c r="C13" s="45" t="s">
        <v>97</v>
      </c>
      <c r="D13" s="46" t="s">
        <v>91</v>
      </c>
      <c r="E13" s="47" t="s">
        <v>98</v>
      </c>
      <c r="F13" s="48">
        <f t="shared" si="0"/>
        <v>100</v>
      </c>
    </row>
    <row r="14" spans="2:6" ht="25.5" customHeight="1" x14ac:dyDescent="0.2">
      <c r="B14" s="4" t="s">
        <v>99</v>
      </c>
      <c r="C14" s="4"/>
      <c r="D14" s="4"/>
      <c r="E14" s="4"/>
      <c r="F14" s="4"/>
    </row>
    <row r="15" spans="2:6" ht="88.5" customHeight="1" x14ac:dyDescent="0.2">
      <c r="B15" s="49" t="s">
        <v>100</v>
      </c>
      <c r="C15" s="50" t="s">
        <v>101</v>
      </c>
      <c r="D15" s="46" t="s">
        <v>91</v>
      </c>
      <c r="E15" s="47" t="s">
        <v>102</v>
      </c>
      <c r="F15" s="51">
        <f>IFERROR(IF(D15="Niveau 4",100,IF(D15="Niveau 3",67,IF(D15="Niveau 2",33,IF(D15="Niveau 1",0,"")))),"")</f>
        <v>100</v>
      </c>
    </row>
    <row r="16" spans="2:6" ht="81" customHeight="1" x14ac:dyDescent="0.2">
      <c r="B16" s="49" t="s">
        <v>103</v>
      </c>
      <c r="C16" s="50" t="s">
        <v>104</v>
      </c>
      <c r="D16" s="46" t="s">
        <v>91</v>
      </c>
      <c r="E16" s="47" t="s">
        <v>105</v>
      </c>
      <c r="F16" s="51">
        <f>IFERROR(IF(D16="Niveau 4",100,IF(D16="Niveau 3",67,IF(D16="Niveau 2",33,IF(D16="Niveau 1",0,"")))),"")</f>
        <v>100</v>
      </c>
    </row>
    <row r="17" spans="2:6" ht="84.75" customHeight="1" x14ac:dyDescent="0.2">
      <c r="B17" s="49" t="s">
        <v>106</v>
      </c>
      <c r="C17" s="50" t="s">
        <v>107</v>
      </c>
      <c r="D17" s="46" t="s">
        <v>91</v>
      </c>
      <c r="E17" s="47" t="s">
        <v>108</v>
      </c>
      <c r="F17" s="51">
        <f>IFERROR(IF(D17="Niveau 4",100,IF(D17="Niveau 3",67,IF(D17="Niveau 2",33,IF(D17="Niveau 1",0,"")))),"")</f>
        <v>100</v>
      </c>
    </row>
    <row r="18" spans="2:6" ht="85.5" customHeight="1" x14ac:dyDescent="0.2">
      <c r="B18" s="49" t="s">
        <v>109</v>
      </c>
      <c r="C18" s="50" t="s">
        <v>110</v>
      </c>
      <c r="D18" s="46" t="s">
        <v>91</v>
      </c>
      <c r="E18" s="47" t="s">
        <v>111</v>
      </c>
      <c r="F18" s="51">
        <f>IFERROR(IF(D18="Niveau 4",100,IF(D18="Niveau 3",67,IF(D18="Niveau 2",33,IF(D18="Niveau 1",0,"")))),"")</f>
        <v>100</v>
      </c>
    </row>
    <row r="19" spans="2:6" ht="85.5" customHeight="1" x14ac:dyDescent="0.2">
      <c r="B19" s="49" t="s">
        <v>112</v>
      </c>
      <c r="C19" s="50" t="s">
        <v>113</v>
      </c>
      <c r="D19" s="46" t="s">
        <v>91</v>
      </c>
      <c r="E19" s="47" t="s">
        <v>114</v>
      </c>
      <c r="F19" s="51">
        <f>IFERROR(IF(D19="Niveau 4",100,IF(D19="Niveau 3",67,IF(D19="Niveau 2",33,IF(D19="Niveau 1",0,"")))),"")</f>
        <v>100</v>
      </c>
    </row>
    <row r="20" spans="2:6" ht="25.5" customHeight="1" x14ac:dyDescent="0.2">
      <c r="B20" s="3" t="s">
        <v>115</v>
      </c>
      <c r="C20" s="3"/>
      <c r="D20" s="3"/>
      <c r="E20" s="3"/>
      <c r="F20" s="3"/>
    </row>
    <row r="21" spans="2:6" ht="87.75" customHeight="1" x14ac:dyDescent="0.2">
      <c r="B21" s="52" t="s">
        <v>116</v>
      </c>
      <c r="C21" s="53" t="s">
        <v>117</v>
      </c>
      <c r="D21" s="46" t="s">
        <v>91</v>
      </c>
      <c r="E21" s="47" t="s">
        <v>118</v>
      </c>
      <c r="F21" s="54">
        <f>IFERROR(IF(D21="Niveau 4",100,IF(D21="Niveau 3",67,IF(D21="Niveau 2",33,IF(D21="Niveau 1",0,"")))),"")</f>
        <v>100</v>
      </c>
    </row>
    <row r="22" spans="2:6" ht="94.5" customHeight="1" x14ac:dyDescent="0.2">
      <c r="B22" s="52" t="s">
        <v>119</v>
      </c>
      <c r="C22" s="53" t="s">
        <v>120</v>
      </c>
      <c r="D22" s="46" t="s">
        <v>91</v>
      </c>
      <c r="E22" s="47" t="s">
        <v>121</v>
      </c>
      <c r="F22" s="54">
        <f>IFERROR(IF(D22="Niveau 4",100,IF(D22="Niveau 3",67,IF(D22="Niveau 2",33,IF(D22="Niveau 1",0,"")))),"")</f>
        <v>100</v>
      </c>
    </row>
    <row r="23" spans="2:6" ht="79.5" customHeight="1" x14ac:dyDescent="0.2">
      <c r="B23" s="52" t="s">
        <v>122</v>
      </c>
      <c r="C23" s="53" t="s">
        <v>123</v>
      </c>
      <c r="D23" s="46" t="s">
        <v>80</v>
      </c>
      <c r="E23" s="47" t="s">
        <v>124</v>
      </c>
      <c r="F23" s="54">
        <f>IFERROR(IF(D23="Niveau 4",100,IF(D23="Niveau 3",67,IF(D23="Niveau 2",33,IF(D23="Niveau 1",0,"")))),"")</f>
        <v>33</v>
      </c>
    </row>
    <row r="24" spans="2:6" ht="87" customHeight="1" x14ac:dyDescent="0.2">
      <c r="B24" s="52" t="s">
        <v>125</v>
      </c>
      <c r="C24" s="53" t="s">
        <v>126</v>
      </c>
      <c r="D24" s="46" t="s">
        <v>91</v>
      </c>
      <c r="E24" s="47" t="s">
        <v>127</v>
      </c>
      <c r="F24" s="54">
        <f>IFERROR(IF(D24="Niveau 4",100,IF(D24="Niveau 3",67,IF(D24="Niveau 2",33,IF(D24="Niveau 1",0,"")))),"")</f>
        <v>100</v>
      </c>
    </row>
    <row r="25" spans="2:6" ht="6" customHeight="1" x14ac:dyDescent="0.2">
      <c r="B25" s="55"/>
      <c r="C25" s="55"/>
      <c r="D25" s="55"/>
      <c r="E25" s="56"/>
      <c r="F25" s="55"/>
    </row>
    <row r="26" spans="2:6" ht="24" customHeight="1" x14ac:dyDescent="0.2">
      <c r="B26" s="2" t="s">
        <v>128</v>
      </c>
      <c r="C26" s="2"/>
      <c r="D26" s="2"/>
      <c r="E26" s="2"/>
      <c r="F26" s="2"/>
    </row>
    <row r="27" spans="2:6" ht="42.75" customHeight="1" x14ac:dyDescent="0.2">
      <c r="B27" s="57" t="s">
        <v>129</v>
      </c>
      <c r="C27" s="57" t="s">
        <v>130</v>
      </c>
      <c r="D27" s="58" t="s">
        <v>131</v>
      </c>
      <c r="E27" s="59" t="s">
        <v>132</v>
      </c>
      <c r="F27" s="58" t="s">
        <v>133</v>
      </c>
    </row>
    <row r="28" spans="2:6" ht="42.75" customHeight="1" x14ac:dyDescent="0.2">
      <c r="B28" s="60" t="s">
        <v>134</v>
      </c>
      <c r="C28" s="61" t="s">
        <v>135</v>
      </c>
      <c r="D28" s="62">
        <f>IFERROR(ROUND(AVERAGE(F8,F9,F10,F11,F12,F13),1),"")</f>
        <v>66.7</v>
      </c>
      <c r="E28" s="63">
        <f>D28</f>
        <v>66.7</v>
      </c>
      <c r="F28" s="64" t="str">
        <f>IFERROR(IF(E28&lt;25,"Niveau 1 – Insuffisant",IF(E28&lt;50,"Niveau 2 – En développement",IF(E28&lt;75,"Niveau 3 – Avancé","Niveau 4 – Leader RSE"))),"N/A")</f>
        <v>Niveau 3 – Avancé</v>
      </c>
    </row>
    <row r="29" spans="2:6" ht="42.75" customHeight="1" x14ac:dyDescent="0.2">
      <c r="B29" s="65" t="s">
        <v>136</v>
      </c>
      <c r="C29" s="66" t="s">
        <v>137</v>
      </c>
      <c r="D29" s="67">
        <f>IFERROR(ROUND(AVERAGE(F15,F16,F17,F18,F19),1),"")</f>
        <v>100</v>
      </c>
      <c r="E29" s="68">
        <f>D29</f>
        <v>100</v>
      </c>
      <c r="F29" s="64" t="str">
        <f>IFERROR(IF(E29&lt;25,"Niveau 1 – Insuffisant",IF(E29&lt;50,"Niveau 2 – En développement",IF(E29&lt;75,"Niveau 3 – Avancé","Niveau 4 – Leader RSE"))),"N/A")</f>
        <v>Niveau 4 – Leader RSE</v>
      </c>
    </row>
    <row r="30" spans="2:6" ht="42.75" customHeight="1" x14ac:dyDescent="0.2">
      <c r="B30" s="69" t="s">
        <v>138</v>
      </c>
      <c r="C30" s="70" t="s">
        <v>139</v>
      </c>
      <c r="D30" s="71">
        <f>IFERROR(ROUND(AVERAGE(F21,F22,F23,F24),1),"")</f>
        <v>83.3</v>
      </c>
      <c r="E30" s="72">
        <f>D30</f>
        <v>83.3</v>
      </c>
      <c r="F30" s="64" t="str">
        <f>IFERROR(IF(E30&lt;25,"Niveau 1 – Insuffisant",IF(E30&lt;50,"Niveau 2 – En développement",IF(E30&lt;75,"Niveau 3 – Avancé","Niveau 4 – Leader RSE"))),"N/A")</f>
        <v>Niveau 4 – Leader RSE</v>
      </c>
    </row>
    <row r="31" spans="2:6" ht="6" customHeight="1" x14ac:dyDescent="0.2">
      <c r="B31" s="55"/>
      <c r="C31" s="55"/>
      <c r="D31" s="55"/>
      <c r="E31" s="56"/>
      <c r="F31" s="55"/>
    </row>
    <row r="32" spans="2:6" ht="37.5" customHeight="1" x14ac:dyDescent="0.2">
      <c r="B32" s="1" t="s">
        <v>140</v>
      </c>
      <c r="C32" s="1"/>
      <c r="D32" s="73" t="str">
        <f>IFERROR(ROUND(AVERAGE(D8,D9,D10,D11,D12,D13,D15,D16,D17,#REF!,#REF!,D18,D19,D21,D22,D23,D24),2),"")</f>
        <v/>
      </c>
      <c r="E32" s="74">
        <f>IFERROR(ROUND(AVERAGE(D28,D29,D30),1),"")</f>
        <v>83.3</v>
      </c>
      <c r="F32" s="75" t="str">
        <f>IFERROR(IF(E32&lt;25,"NIVEAU 1 – INSUFFISANT",IF(E32&lt;50,"NIVEAU 2 – EN DÉVELOPPEMENT",IF(E32&lt;75,"NIVEAU 3 – AVANCÉ","NIVEAU 4 – LEADER RSE"))),"N/A")</f>
        <v>NIVEAU 4 – LEADER RSE</v>
      </c>
    </row>
    <row r="33" spans="4:4" x14ac:dyDescent="0.2">
      <c r="D33" s="76"/>
    </row>
  </sheetData>
  <mergeCells count="7">
    <mergeCell ref="B26:F26"/>
    <mergeCell ref="B32:C32"/>
    <mergeCell ref="B2:F2"/>
    <mergeCell ref="B3:F3"/>
    <mergeCell ref="B7:F7"/>
    <mergeCell ref="B14:F14"/>
    <mergeCell ref="B20:F20"/>
  </mergeCells>
  <conditionalFormatting sqref="D7:D24">
    <cfRule type="colorScale" priority="2">
      <colorScale>
        <cfvo type="num" val="0"/>
        <cfvo type="num" val="1.5"/>
        <cfvo type="num" val="3"/>
        <color rgb="FFFF4444"/>
        <color rgb="FFFFAA00"/>
        <color rgb="FF00AA44"/>
      </colorScale>
    </cfRule>
  </conditionalFormatting>
  <conditionalFormatting sqref="F7:F24">
    <cfRule type="colorScale" priority="3">
      <colorScale>
        <cfvo type="num" val="0"/>
        <cfvo type="num" val="50"/>
        <cfvo type="num" val="100"/>
        <color rgb="FFFF4444"/>
        <color rgb="FFFFAA00"/>
        <color rgb="FF00AA44"/>
      </colorScale>
    </cfRule>
  </conditionalFormatting>
  <dataValidations count="1">
    <dataValidation type="list" showErrorMessage="1" errorTitle="Valeur non valide" error="Sélectionner Niveau 1, Niveau 2, Niveau 3 ou Niveau 4" sqref="D8:D13 D15:D19 D21:D24" xr:uid="{00000000-0002-0000-0200-000000000000}">
      <formula1>"Niveau 1,Niveau 2,Niveau 3,Niveau 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Guide d'utilisation</vt:lpstr>
      <vt:lpstr>Fiche Établissement</vt:lpstr>
      <vt:lpstr>Matrice 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2026-02-14T14:21:21Z</dcterms:created>
  <dcterms:modified xsi:type="dcterms:W3CDTF">2026-03-01T12:57:47Z</dcterms:modified>
  <dc:language>en-US</dc:language>
</cp:coreProperties>
</file>