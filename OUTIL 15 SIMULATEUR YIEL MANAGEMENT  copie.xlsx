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brahym/Desktop/MES OUTILS/"/>
    </mc:Choice>
  </mc:AlternateContent>
  <xr:revisionPtr revIDLastSave="0" documentId="13_ncr:1_{04983015-3DEA-1440-91D3-32AB642C7FDD}" xr6:coauthVersionLast="47" xr6:coauthVersionMax="47" xr10:uidLastSave="{00000000-0000-0000-0000-000000000000}"/>
  <bookViews>
    <workbookView xWindow="28800" yWindow="0" windowWidth="38400" windowHeight="21600" tabRatio="500" xr2:uid="{00000000-000D-0000-FFFF-FFFF00000000}"/>
  </bookViews>
  <sheets>
    <sheet name="Hypothèses" sheetId="1" r:id="rId1"/>
    <sheet name="Saisonnalité &amp; CA" sheetId="2" r:id="rId2"/>
    <sheet name="Graphiqu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2" l="1"/>
  <c r="E5" i="2" l="1"/>
  <c r="E6" i="2"/>
  <c r="E7" i="2"/>
  <c r="E8" i="2"/>
  <c r="E9" i="2"/>
  <c r="E10" i="2"/>
  <c r="E11" i="2"/>
  <c r="E12" i="2"/>
  <c r="E13" i="2"/>
  <c r="E14" i="2"/>
  <c r="E15" i="2"/>
  <c r="E4" i="2"/>
  <c r="C5" i="2"/>
  <c r="C6" i="2"/>
  <c r="C7" i="2"/>
  <c r="C8" i="2"/>
  <c r="C9" i="2"/>
  <c r="C10" i="2"/>
  <c r="C11" i="2"/>
  <c r="C12" i="2"/>
  <c r="C13" i="2"/>
  <c r="C14" i="2"/>
  <c r="C15" i="2"/>
  <c r="C4" i="2"/>
  <c r="C16" i="2"/>
  <c r="D1" i="2"/>
  <c r="C17" i="1"/>
  <c r="C16" i="1"/>
  <c r="C15" i="1"/>
  <c r="F14" i="2" l="1"/>
  <c r="C13" i="3" s="1"/>
  <c r="D14" i="2"/>
  <c r="B13" i="3" s="1"/>
  <c r="D11" i="2"/>
  <c r="B10" i="3" s="1"/>
  <c r="D5" i="2"/>
  <c r="B4" i="3" s="1"/>
  <c r="F7" i="2"/>
  <c r="D9" i="2"/>
  <c r="B8" i="3" s="1"/>
  <c r="F11" i="2"/>
  <c r="D13" i="2"/>
  <c r="B12" i="3" s="1"/>
  <c r="F15" i="2"/>
  <c r="F4" i="2"/>
  <c r="G4" i="2" s="1"/>
  <c r="D6" i="2"/>
  <c r="B5" i="3" s="1"/>
  <c r="F8" i="2"/>
  <c r="F13" i="2"/>
  <c r="D15" i="2"/>
  <c r="B14" i="3" s="1"/>
  <c r="D10" i="2"/>
  <c r="B9" i="3" s="1"/>
  <c r="F12" i="2"/>
  <c r="F5" i="2"/>
  <c r="D7" i="2"/>
  <c r="B6" i="3" s="1"/>
  <c r="F9" i="2"/>
  <c r="F6" i="2"/>
  <c r="D8" i="2"/>
  <c r="B7" i="3" s="1"/>
  <c r="F10" i="2"/>
  <c r="D12" i="2"/>
  <c r="B11" i="3" s="1"/>
  <c r="C10" i="3" l="1"/>
  <c r="G11" i="2"/>
  <c r="D10" i="3" s="1"/>
  <c r="C3" i="3"/>
  <c r="F16" i="2"/>
  <c r="C9" i="3"/>
  <c r="G10" i="2"/>
  <c r="D9" i="3" s="1"/>
  <c r="C5" i="3"/>
  <c r="G6" i="2"/>
  <c r="D5" i="3" s="1"/>
  <c r="G5" i="2"/>
  <c r="D4" i="3" s="1"/>
  <c r="C4" i="3"/>
  <c r="G13" i="2"/>
  <c r="D12" i="3" s="1"/>
  <c r="C12" i="3"/>
  <c r="C14" i="3"/>
  <c r="G15" i="2"/>
  <c r="D14" i="3" s="1"/>
  <c r="C6" i="3"/>
  <c r="G7" i="2"/>
  <c r="D6" i="3" s="1"/>
  <c r="G14" i="2"/>
  <c r="D13" i="3" s="1"/>
  <c r="G9" i="2"/>
  <c r="D8" i="3" s="1"/>
  <c r="C8" i="3"/>
  <c r="D16" i="2"/>
  <c r="E20" i="2" s="1"/>
  <c r="B3" i="3"/>
  <c r="B15" i="3" s="1"/>
  <c r="C11" i="3"/>
  <c r="G12" i="2"/>
  <c r="D11" i="3" s="1"/>
  <c r="G8" i="2"/>
  <c r="D7" i="3" s="1"/>
  <c r="C7" i="3"/>
  <c r="E19" i="2" l="1"/>
  <c r="E18" i="2"/>
  <c r="C15" i="3"/>
  <c r="D3" i="3"/>
  <c r="D15" i="3" s="1"/>
  <c r="G16" i="2"/>
</calcChain>
</file>

<file path=xl/sharedStrings.xml><?xml version="1.0" encoding="utf-8"?>
<sst xmlns="http://schemas.openxmlformats.org/spreadsheetml/2006/main" count="79" uniqueCount="65">
  <si>
    <t>Valeurs en bleu = modifiables  ·  Le reste est calculé automatiquement</t>
  </si>
  <si>
    <t xml:space="preserve">  A.  RIAD</t>
  </si>
  <si>
    <t>Nombre de chambres</t>
  </si>
  <si>
    <t xml:space="preserve">  B.  PRIX PAR SAISON (MAD / chambre / nuit)</t>
  </si>
  <si>
    <t>Prix fixe (référence, sans yield)</t>
  </si>
  <si>
    <t>Prix unique toute l'année</t>
  </si>
  <si>
    <t>Mois à forte occupation (≥ 70 %)</t>
  </si>
  <si>
    <t>Mois intermédiaires (50–69 %)</t>
  </si>
  <si>
    <t>Mois creux (&lt; 50 %)</t>
  </si>
  <si>
    <t xml:space="preserve">  C.  SEUILS DE SAISONNALITÉ → Prix automatique</t>
  </si>
  <si>
    <t>Saison</t>
  </si>
  <si>
    <t>Seuil taux d'occup.</t>
  </si>
  <si>
    <t>Prix appliqué</t>
  </si>
  <si>
    <t>&lt; 50 %</t>
  </si>
  <si>
    <t>ℹ️  Si taux ≥ 70 % → Prix HS   |   50–69 % → Prix MS   |   &lt; 50 % → Prix BS</t>
  </si>
  <si>
    <t xml:space="preserve">  D.  BENCHMARK CONCURRENTS — Riads 4★ Médina Marrakech</t>
  </si>
  <si>
    <t>Concurrent</t>
  </si>
  <si>
    <t>Chambres</t>
  </si>
  <si>
    <t>Prix HS (MAD)</t>
  </si>
  <si>
    <t>Taux de
remplissage</t>
  </si>
  <si>
    <t>Prix Yield
(MAD/nuit)</t>
  </si>
  <si>
    <t>CA Yield
Management</t>
  </si>
  <si>
    <t>Gain Yield
vs Fixe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</si>
  <si>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</si>
  <si>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</si>
  <si>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</si>
  <si>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</si>
  <si>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</si>
  <si>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</si>
  <si>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</si>
  <si>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</si>
  <si>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</si>
  <si>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</si>
  <si>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</si>
  <si>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</si>
  <si>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Taux de remplissage annuel moyen</t>
  </si>
  <si>
    <t>% Gain Yield vs Prix fixe</t>
  </si>
  <si>
    <t>RevPAR Yield (MAD/nuit dispo)</t>
  </si>
  <si>
    <t>RevPAR Prix fixe (MAD/nuit dispo)</t>
  </si>
  <si>
    <t>Mois</t>
  </si>
  <si>
    <t>CA Prix fixe (MAD)</t>
  </si>
  <si>
    <t>CA Yield (MAD)</t>
  </si>
  <si>
    <t>Gain (MAD)</t>
  </si>
  <si>
    <t>TOTAL</t>
  </si>
  <si>
    <t>Haute Saison</t>
  </si>
  <si>
    <t>Moyenne Saison</t>
  </si>
  <si>
    <t>Basse Saison</t>
  </si>
  <si>
    <t>Modifiez ici · toutes les formules suivent</t>
  </si>
  <si>
    <t>≥ 80 %</t>
  </si>
  <si>
    <t>Année 1 Activité Hébergement</t>
  </si>
  <si>
    <t xml:space="preserve">Automatique depuis Hypothèses </t>
  </si>
  <si>
    <t xml:space="preserve">Total Yield </t>
  </si>
  <si>
    <t>CA MENSUEL Comparatif Prix fixe vs Yield Management</t>
  </si>
  <si>
    <t>51–79 %</t>
  </si>
  <si>
    <t>Riad A</t>
  </si>
  <si>
    <t>Riad B</t>
  </si>
  <si>
    <t>Riad C</t>
  </si>
  <si>
    <t>Riad D</t>
  </si>
  <si>
    <t>Riad E</t>
  </si>
  <si>
    <t>Prix Haute Saison</t>
  </si>
  <si>
    <t>Prix Moyenne Saison</t>
  </si>
  <si>
    <t>Prix Basse Saison</t>
  </si>
  <si>
    <t>RIAD DU MÉMOIRE MARRAKECH  |  Hypothèses de simulation</t>
  </si>
  <si>
    <t>CA Prix fixe
1 000 MAD</t>
  </si>
  <si>
    <t>Riad (cible)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</si>
</sst>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AD&quot;;\(#,##0&quot; MAD)&quot;;\-"/>
    <numFmt numFmtId="165" formatCode="0.0%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155CC"/>
      <name val="Arial"/>
      <family val="2"/>
    </font>
    <font>
      <i/>
      <sz val="9"/>
      <color rgb="FF888888"/>
      <name val="Arial"/>
      <family val="2"/>
    </font>
    <font>
      <b/>
      <sz val="10"/>
      <color rgb="FF1155CC"/>
      <name val="Arial"/>
      <family val="2"/>
    </font>
    <font>
      <b/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0"/>
      <color rgb="FF2E6B3E"/>
      <name val="Arial"/>
      <family val="2"/>
    </font>
    <font>
      <b/>
      <sz val="12"/>
      <color rgb="FF2E6B3E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14"/>
      <color rgb="FF2E6B3E"/>
      <name val="Arial"/>
      <family val="2"/>
    </font>
    <font>
      <b/>
      <sz val="14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E6B3E"/>
        <bgColor rgb="FF1F4D2B"/>
      </patternFill>
    </fill>
    <fill>
      <patternFill patternType="solid">
        <fgColor rgb="FF4A9660"/>
        <bgColor rgb="FF70AD47"/>
      </patternFill>
    </fill>
    <fill>
      <patternFill patternType="solid">
        <fgColor rgb="FFBF9000"/>
        <bgColor rgb="FFE26B0A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E26B0A"/>
        <bgColor rgb="FFBF5000"/>
      </patternFill>
    </fill>
    <fill>
      <patternFill patternType="solid">
        <fgColor rgb="FFD9EAD3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4A9660"/>
      </patternFill>
    </fill>
    <fill>
      <patternFill patternType="solid">
        <fgColor rgb="FF92D050"/>
        <bgColor rgb="FFBF5000"/>
      </patternFill>
    </fill>
    <fill>
      <patternFill patternType="solid">
        <fgColor theme="4" tint="-0.249977111117893"/>
        <bgColor rgb="FF1F4D2B"/>
      </patternFill>
    </fill>
    <fill>
      <patternFill patternType="solid">
        <fgColor theme="4" tint="-0.249977111117893"/>
        <bgColor rgb="FF70AD47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rgb="FF88888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164" fontId="4" fillId="8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164" fontId="10" fillId="8" borderId="3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9" fontId="5" fillId="6" borderId="2" xfId="0" applyNumberFormat="1" applyFont="1" applyFill="1" applyBorder="1" applyAlignment="1">
      <alignment horizontal="center" vertical="center" wrapText="1"/>
    </xf>
    <xf numFmtId="164" fontId="10" fillId="8" borderId="2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165" fontId="14" fillId="2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14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10" fillId="6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E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5F5F5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366FF"/>
      <rgbColor rgb="FF33CCCC"/>
      <rgbColor rgb="FF70AD47"/>
      <rgbColor rgb="FFFFCC00"/>
      <rgbColor rgb="FFBF9000"/>
      <rgbColor rgb="FFE26B0A"/>
      <rgbColor rgb="FF666666"/>
      <rgbColor rgb="FF888888"/>
      <rgbColor rgb="FF003366"/>
      <rgbColor rgb="FF4A9660"/>
      <rgbColor rgb="FF003300"/>
      <rgbColor rgb="FF333300"/>
      <rgbColor rgb="FFBF5000"/>
      <rgbColor rgb="FF993366"/>
      <rgbColor rgb="FF333399"/>
      <rgbColor rgb="FF1F4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CA mensuel : Prix fixe vs Yield Management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Prix fixe 1 200 MAD</c:v>
          </c:tx>
          <c:spPr>
            <a:solidFill>
              <a:srgbClr val="4A9660"/>
            </a:solidFill>
            <a:ln w="9360">
              <a:solidFill>
                <a:srgbClr val="2E6B3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Graphique!$A$3:$A$14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Graphique!$B$3:$B$14</c:f>
              <c:numCache>
                <c:formatCode>#\ ##0" MAD";\(#\ ##0" MAD)";\-</c:formatCode>
                <c:ptCount val="12"/>
                <c:pt idx="0">
                  <c:v>124000</c:v>
                </c:pt>
                <c:pt idx="1">
                  <c:v>112000</c:v>
                </c:pt>
                <c:pt idx="2">
                  <c:v>136400</c:v>
                </c:pt>
                <c:pt idx="3">
                  <c:v>156000</c:v>
                </c:pt>
                <c:pt idx="4">
                  <c:v>173600</c:v>
                </c:pt>
                <c:pt idx="5">
                  <c:v>204000</c:v>
                </c:pt>
                <c:pt idx="6">
                  <c:v>248000</c:v>
                </c:pt>
                <c:pt idx="7">
                  <c:v>248000</c:v>
                </c:pt>
                <c:pt idx="8">
                  <c:v>240000</c:v>
                </c:pt>
                <c:pt idx="9">
                  <c:v>198400</c:v>
                </c:pt>
                <c:pt idx="10">
                  <c:v>144000</c:v>
                </c:pt>
                <c:pt idx="11">
                  <c:v>161200.00000000003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F-A340-8033-08FA4C278D2F}"/>
            </c:ext>
          </c:extLst>
        </c:ser>
        <c:ser>
          <c:idx val="1"/>
          <c:order val="1"/>
          <c:tx>
            <c:v>Yield Management</c:v>
          </c:tx>
          <c:spPr>
            <a:solidFill>
              <a:srgbClr val="E26B0A"/>
            </a:solidFill>
            <a:ln w="9360">
              <a:solidFill>
                <a:srgbClr val="BF5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Graphique!$A$3:$A$14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Graphique!$C$3:$C$14</c:f>
              <c:numCache>
                <c:formatCode>#\ ##0" MAD";\(#\ ##0" MAD)";\-</c:formatCode>
                <c:ptCount val="12"/>
                <c:pt idx="0">
                  <c:v>111600</c:v>
                </c:pt>
                <c:pt idx="1">
                  <c:v>100800</c:v>
                </c:pt>
                <c:pt idx="2">
                  <c:v>163680</c:v>
                </c:pt>
                <c:pt idx="3">
                  <c:v>187200</c:v>
                </c:pt>
                <c:pt idx="4">
                  <c:v>208320</c:v>
                </c:pt>
                <c:pt idx="5">
                  <c:v>306000</c:v>
                </c:pt>
                <c:pt idx="6">
                  <c:v>372000</c:v>
                </c:pt>
                <c:pt idx="7">
                  <c:v>372000</c:v>
                </c:pt>
                <c:pt idx="8">
                  <c:v>360000</c:v>
                </c:pt>
                <c:pt idx="9">
                  <c:v>297600</c:v>
                </c:pt>
                <c:pt idx="10">
                  <c:v>172800</c:v>
                </c:pt>
                <c:pt idx="11">
                  <c:v>193440.00000000003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F-A340-8033-08FA4C278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83182"/>
        <c:axId val="49204874"/>
      </c:barChart>
      <c:catAx>
        <c:axId val="201831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9204874"/>
        <c:crosses val="autoZero"/>
        <c:auto val="1"/>
        <c:lblAlgn val="ctr"/>
        <c:lblOffset val="100"/>
        <c:noMultiLvlLbl val="0"/>
      </c:catAx>
      <c:valAx>
        <c:axId val="49204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&quot; MAD&quot;;\(#\ ##0&quot; MAD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1831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69120</xdr:colOff>
      <xdr:row>42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showGridLines="0" tabSelected="1" zoomScaleNormal="100" workbookViewId="0">
      <selection activeCell="C30" sqref="C30"/>
    </sheetView>
  </sheetViews>
  <sheetFormatPr baseColWidth="10" defaultColWidth="8.6640625" defaultRowHeight="15" x14ac:dyDescent="0.2"/>
  <cols>
    <col min="1" max="1" width="36" customWidth="1"/>
    <col min="2" max="2" width="20" customWidth="1"/>
    <col min="3" max="3" width="34" customWidth="1"/>
  </cols>
  <sheetData>
    <row r="1" spans="1:3" ht="24" customHeight="1" x14ac:dyDescent="0.2">
      <c r="A1" s="50" t="s">
        <v>62</v>
      </c>
      <c r="B1" s="50"/>
      <c r="C1" s="50"/>
    </row>
    <row r="2" spans="1:3" ht="24" customHeight="1" x14ac:dyDescent="0.2">
      <c r="A2" s="51" t="s">
        <v>0</v>
      </c>
      <c r="B2" s="51"/>
      <c r="C2" s="51"/>
    </row>
    <row r="4" spans="1:3" ht="18" customHeight="1" x14ac:dyDescent="0.2">
      <c r="A4" s="39" t="s">
        <v>1</v>
      </c>
      <c r="B4" s="39"/>
      <c r="C4" s="39"/>
    </row>
    <row r="5" spans="1:3" ht="18" customHeight="1" x14ac:dyDescent="0.2">
      <c r="A5" s="1" t="s">
        <v>2</v>
      </c>
      <c r="B5" s="2">
        <v>8</v>
      </c>
      <c r="C5" s="3" t="s">
        <v>47</v>
      </c>
    </row>
    <row r="7" spans="1:3" ht="18" customHeight="1" x14ac:dyDescent="0.2">
      <c r="A7" s="39" t="s">
        <v>3</v>
      </c>
      <c r="B7" s="39"/>
      <c r="C7" s="39"/>
    </row>
    <row r="8" spans="1:3" ht="18" customHeight="1" x14ac:dyDescent="0.2">
      <c r="A8" s="1" t="s">
        <v>4</v>
      </c>
      <c r="B8" s="4">
        <v>1000</v>
      </c>
      <c r="C8" s="3" t="s">
        <v>5</v>
      </c>
    </row>
    <row r="9" spans="1:3" ht="18" customHeight="1" x14ac:dyDescent="0.2">
      <c r="A9" s="37" t="s">
        <v>59</v>
      </c>
      <c r="B9" s="4">
        <v>1500</v>
      </c>
      <c r="C9" s="3" t="s">
        <v>6</v>
      </c>
    </row>
    <row r="10" spans="1:3" ht="18" customHeight="1" x14ac:dyDescent="0.2">
      <c r="A10" s="37" t="s">
        <v>60</v>
      </c>
      <c r="B10" s="4">
        <v>1200</v>
      </c>
      <c r="C10" s="3" t="s">
        <v>7</v>
      </c>
    </row>
    <row r="11" spans="1:3" ht="18" customHeight="1" x14ac:dyDescent="0.2">
      <c r="A11" s="37" t="s">
        <v>61</v>
      </c>
      <c r="B11" s="4">
        <v>900</v>
      </c>
      <c r="C11" s="3" t="s">
        <v>8</v>
      </c>
    </row>
    <row r="13" spans="1:3" ht="18" customHeight="1" x14ac:dyDescent="0.2">
      <c r="A13" s="39" t="s">
        <v>9</v>
      </c>
      <c r="B13" s="39"/>
      <c r="C13" s="39"/>
    </row>
    <row r="14" spans="1:3" ht="15.75" customHeight="1" x14ac:dyDescent="0.2">
      <c r="A14" s="52" t="s">
        <v>10</v>
      </c>
      <c r="B14" s="52" t="s">
        <v>11</v>
      </c>
      <c r="C14" s="52" t="s">
        <v>12</v>
      </c>
    </row>
    <row r="15" spans="1:3" ht="19.5" customHeight="1" x14ac:dyDescent="0.2">
      <c r="A15" s="6" t="s">
        <v>44</v>
      </c>
      <c r="B15" s="33" t="s">
        <v>48</v>
      </c>
      <c r="C15" s="8">
        <f>B9</f>
        <v>1500</v>
      </c>
    </row>
    <row r="16" spans="1:3" ht="19.5" customHeight="1" x14ac:dyDescent="0.2">
      <c r="A16" s="9" t="s">
        <v>45</v>
      </c>
      <c r="B16" s="33" t="s">
        <v>53</v>
      </c>
      <c r="C16" s="8">
        <f>B10</f>
        <v>1200</v>
      </c>
    </row>
    <row r="17" spans="1:3" ht="19.5" customHeight="1" x14ac:dyDescent="0.2">
      <c r="A17" s="10" t="s">
        <v>46</v>
      </c>
      <c r="B17" s="7" t="s">
        <v>13</v>
      </c>
      <c r="C17" s="8">
        <f>B11</f>
        <v>900</v>
      </c>
    </row>
    <row r="18" spans="1:3" ht="13.5" customHeight="1" x14ac:dyDescent="0.2">
      <c r="A18" s="38" t="s">
        <v>14</v>
      </c>
      <c r="B18" s="38"/>
      <c r="C18" s="38"/>
    </row>
    <row r="20" spans="1:3" ht="18" customHeight="1" x14ac:dyDescent="0.2">
      <c r="A20" s="39" t="s">
        <v>15</v>
      </c>
      <c r="B20" s="39"/>
      <c r="C20" s="39"/>
    </row>
    <row r="21" spans="1:3" ht="15.75" customHeight="1" x14ac:dyDescent="0.2">
      <c r="A21" s="52" t="s">
        <v>16</v>
      </c>
      <c r="B21" s="52" t="s">
        <v>17</v>
      </c>
      <c r="C21" s="52" t="s">
        <v>18</v>
      </c>
    </row>
    <row r="22" spans="1:3" ht="15.75" customHeight="1" x14ac:dyDescent="0.2">
      <c r="A22" s="34" t="s">
        <v>54</v>
      </c>
      <c r="B22" s="11">
        <v>11</v>
      </c>
      <c r="C22" s="12">
        <v>950</v>
      </c>
    </row>
    <row r="23" spans="1:3" ht="15.75" customHeight="1" x14ac:dyDescent="0.2">
      <c r="A23" s="36" t="s">
        <v>55</v>
      </c>
      <c r="B23" s="13">
        <v>8</v>
      </c>
      <c r="C23" s="14">
        <v>1200</v>
      </c>
    </row>
    <row r="24" spans="1:3" ht="15.75" customHeight="1" x14ac:dyDescent="0.2">
      <c r="A24" s="34" t="s">
        <v>56</v>
      </c>
      <c r="B24" s="11">
        <v>10</v>
      </c>
      <c r="C24" s="12">
        <v>1000</v>
      </c>
    </row>
    <row r="25" spans="1:3" ht="15.75" customHeight="1" x14ac:dyDescent="0.2">
      <c r="A25" s="36" t="s">
        <v>57</v>
      </c>
      <c r="B25" s="13">
        <v>16</v>
      </c>
      <c r="C25" s="14">
        <v>950</v>
      </c>
    </row>
    <row r="26" spans="1:3" ht="15.75" customHeight="1" x14ac:dyDescent="0.2">
      <c r="A26" s="34" t="s">
        <v>58</v>
      </c>
      <c r="B26" s="11">
        <v>5</v>
      </c>
      <c r="C26" s="12">
        <v>1300</v>
      </c>
    </row>
    <row r="27" spans="1:3" ht="18" customHeight="1" x14ac:dyDescent="0.2">
      <c r="A27" s="15" t="s">
        <v>64</v>
      </c>
      <c r="B27" s="16">
        <v>8</v>
      </c>
      <c r="C27" s="17">
        <v>1000</v>
      </c>
    </row>
  </sheetData>
  <mergeCells count="7">
    <mergeCell ref="A18:C18"/>
    <mergeCell ref="A20:C20"/>
    <mergeCell ref="A1:C1"/>
    <mergeCell ref="A2:C2"/>
    <mergeCell ref="A4:C4"/>
    <mergeCell ref="A7:C7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zoomScaleNormal="100" workbookViewId="0">
      <selection activeCell="D5" sqref="D5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18" customWidth="1"/>
    <col min="4" max="4" width="19.5" customWidth="1"/>
    <col min="5" max="5" width="18" customWidth="1"/>
    <col min="6" max="6" width="20" customWidth="1"/>
    <col min="7" max="7" width="18" customWidth="1"/>
  </cols>
  <sheetData>
    <row r="1" spans="1:7" ht="21.75" customHeight="1" x14ac:dyDescent="0.2">
      <c r="A1" s="40" t="s">
        <v>2</v>
      </c>
      <c r="B1" s="40"/>
      <c r="C1" s="40"/>
      <c r="D1" s="18">
        <f>Hypothèses!B5</f>
        <v>8</v>
      </c>
      <c r="E1" s="41" t="s">
        <v>50</v>
      </c>
      <c r="F1" s="41"/>
      <c r="G1" s="41"/>
    </row>
    <row r="2" spans="1:7" ht="12" customHeight="1" x14ac:dyDescent="0.2">
      <c r="A2" s="42" t="s">
        <v>49</v>
      </c>
      <c r="B2" s="43" t="s">
        <v>19</v>
      </c>
      <c r="C2" s="43" t="s">
        <v>10</v>
      </c>
      <c r="D2" s="43" t="s">
        <v>63</v>
      </c>
      <c r="E2" s="44" t="s">
        <v>20</v>
      </c>
      <c r="F2" s="44" t="s">
        <v>21</v>
      </c>
      <c r="G2" s="44" t="s">
        <v>22</v>
      </c>
    </row>
    <row r="3" spans="1:7" ht="30" customHeight="1" x14ac:dyDescent="0.2">
      <c r="A3" s="42"/>
      <c r="B3" s="42"/>
      <c r="C3" s="42"/>
      <c r="D3" s="42"/>
      <c r="E3" s="42"/>
      <c r="F3" s="42"/>
      <c r="G3" s="42"/>
    </row>
    <row r="4" spans="1:7" ht="19.5" customHeight="1" x14ac:dyDescent="0.2">
      <c r="A4" s="19" t="s">
        <v>23</v>
      </c>
      <c r="B4" s="20">
        <v>0.5</v>
      </c>
      <c r="C4" s="23" t="str">
        <f>IF(B4&gt;=0.8,"Haute Saison",IF(B4&gt;=0.5,"Moyenne Saison","Basse Saison"))</f>
        <v>Moyenne Saison</v>
      </c>
      <c r="D4" s="14">
        <f>B4*$D$1*31*Hypothèses!B$8</f>
        <v>124000</v>
      </c>
      <c r="E4" s="8">
        <f>IF(B4&gt;=0.8,Hypothèses!B$9,IF(B4&gt;=0.51,Hypothèses!B$10,Hypothèses!B$11))</f>
        <v>900</v>
      </c>
      <c r="F4" s="21">
        <f>B4*$D$1*31*E4</f>
        <v>111600</v>
      </c>
      <c r="G4" s="21">
        <f>F4-D4</f>
        <v>-12400</v>
      </c>
    </row>
    <row r="5" spans="1:7" ht="19.5" customHeight="1" x14ac:dyDescent="0.2">
      <c r="A5" s="22" t="s">
        <v>24</v>
      </c>
      <c r="B5" s="20">
        <v>0.5</v>
      </c>
      <c r="C5" s="23" t="str">
        <f t="shared" ref="C5:C15" si="0">IF(B5&gt;=0.8,"Haute Saison",IF(B5&gt;=0.5,"Moyenne Saison","Basse Saison"))</f>
        <v>Moyenne Saison</v>
      </c>
      <c r="D5" s="12">
        <f>B5*$D$1*28*Hypothèses!B$8</f>
        <v>112000</v>
      </c>
      <c r="E5" s="8">
        <f>IF(B5&gt;=0.8,Hypothèses!B$9,IF(B5&gt;=0.51,Hypothèses!B$10,Hypothèses!B$11))</f>
        <v>900</v>
      </c>
      <c r="F5" s="21">
        <f>B5*$D$1*28*E5</f>
        <v>100800</v>
      </c>
      <c r="G5" s="21">
        <f t="shared" ref="G5:G15" si="1">F5-D5</f>
        <v>-11200</v>
      </c>
    </row>
    <row r="6" spans="1:7" ht="19.5" customHeight="1" x14ac:dyDescent="0.2">
      <c r="A6" s="19" t="s">
        <v>25</v>
      </c>
      <c r="B6" s="20">
        <v>0.55000000000000004</v>
      </c>
      <c r="C6" s="23" t="str">
        <f t="shared" si="0"/>
        <v>Moyenne Saison</v>
      </c>
      <c r="D6" s="14">
        <f>B6*$D$1*31*Hypothèses!B$8</f>
        <v>136400</v>
      </c>
      <c r="E6" s="8">
        <f>IF(B6&gt;=0.8,Hypothèses!B$9,IF(B6&gt;=0.51,Hypothèses!B$10,Hypothèses!B$11))</f>
        <v>1200</v>
      </c>
      <c r="F6" s="21">
        <f>B6*$D$1*31*E6</f>
        <v>163680</v>
      </c>
      <c r="G6" s="21">
        <f t="shared" si="1"/>
        <v>27280</v>
      </c>
    </row>
    <row r="7" spans="1:7" ht="19.5" customHeight="1" x14ac:dyDescent="0.2">
      <c r="A7" s="22" t="s">
        <v>26</v>
      </c>
      <c r="B7" s="20">
        <v>0.65</v>
      </c>
      <c r="C7" s="23" t="str">
        <f t="shared" si="0"/>
        <v>Moyenne Saison</v>
      </c>
      <c r="D7" s="12">
        <f>B7*$D$1*30*Hypothèses!B$8</f>
        <v>156000</v>
      </c>
      <c r="E7" s="8">
        <f>IF(B7&gt;=0.8,Hypothèses!B$9,IF(B7&gt;=0.51,Hypothèses!B$10,Hypothèses!B$11))</f>
        <v>1200</v>
      </c>
      <c r="F7" s="21">
        <f>B7*$D$1*30*E7</f>
        <v>187200</v>
      </c>
      <c r="G7" s="21">
        <f t="shared" si="1"/>
        <v>31200</v>
      </c>
    </row>
    <row r="8" spans="1:7" ht="19.5" customHeight="1" x14ac:dyDescent="0.2">
      <c r="A8" s="19" t="s">
        <v>27</v>
      </c>
      <c r="B8" s="20">
        <v>0.7</v>
      </c>
      <c r="C8" s="23" t="str">
        <f t="shared" si="0"/>
        <v>Moyenne Saison</v>
      </c>
      <c r="D8" s="14">
        <f>B8*$D$1*31*Hypothèses!B$8</f>
        <v>173600</v>
      </c>
      <c r="E8" s="8">
        <f>IF(B8&gt;=0.8,Hypothèses!B$9,IF(B8&gt;=0.51,Hypothèses!B$10,Hypothèses!B$11))</f>
        <v>1200</v>
      </c>
      <c r="F8" s="21">
        <f>B8*$D$1*31*E8</f>
        <v>208320</v>
      </c>
      <c r="G8" s="21">
        <f t="shared" si="1"/>
        <v>34720</v>
      </c>
    </row>
    <row r="9" spans="1:7" ht="19.5" customHeight="1" x14ac:dyDescent="0.2">
      <c r="A9" s="22" t="s">
        <v>28</v>
      </c>
      <c r="B9" s="20">
        <v>0.85</v>
      </c>
      <c r="C9" s="35" t="str">
        <f t="shared" si="0"/>
        <v>Haute Saison</v>
      </c>
      <c r="D9" s="12">
        <f>B9*$D$1*30*Hypothèses!B$8</f>
        <v>204000</v>
      </c>
      <c r="E9" s="8">
        <f>IF(B9&gt;=0.8,Hypothèses!B$9,IF(B9&gt;=0.51,Hypothèses!B$10,Hypothèses!B$11))</f>
        <v>1500</v>
      </c>
      <c r="F9" s="21">
        <f>B9*$D$1*30*E9</f>
        <v>306000</v>
      </c>
      <c r="G9" s="21">
        <f t="shared" si="1"/>
        <v>102000</v>
      </c>
    </row>
    <row r="10" spans="1:7" ht="19.5" customHeight="1" x14ac:dyDescent="0.2">
      <c r="A10" s="19" t="s">
        <v>29</v>
      </c>
      <c r="B10" s="20">
        <v>1</v>
      </c>
      <c r="C10" s="35" t="str">
        <f t="shared" si="0"/>
        <v>Haute Saison</v>
      </c>
      <c r="D10" s="14">
        <f>B10*$D$1*31*Hypothèses!B$8</f>
        <v>248000</v>
      </c>
      <c r="E10" s="8">
        <f>IF(B10&gt;=0.8,Hypothèses!B$9,IF(B10&gt;=0.51,Hypothèses!B$10,Hypothèses!B$11))</f>
        <v>1500</v>
      </c>
      <c r="F10" s="21">
        <f>B10*$D$1*31*E10</f>
        <v>372000</v>
      </c>
      <c r="G10" s="21">
        <f t="shared" si="1"/>
        <v>124000</v>
      </c>
    </row>
    <row r="11" spans="1:7" ht="19.5" customHeight="1" x14ac:dyDescent="0.2">
      <c r="A11" s="22" t="s">
        <v>30</v>
      </c>
      <c r="B11" s="20">
        <v>1</v>
      </c>
      <c r="C11" s="35" t="str">
        <f t="shared" si="0"/>
        <v>Haute Saison</v>
      </c>
      <c r="D11" s="12">
        <f>B11*$D$1*31*Hypothèses!B$8</f>
        <v>248000</v>
      </c>
      <c r="E11" s="8">
        <f>IF(B11&gt;=0.8,Hypothèses!B$9,IF(B11&gt;=0.51,Hypothèses!B$10,Hypothèses!B$11))</f>
        <v>1500</v>
      </c>
      <c r="F11" s="21">
        <f>B11*$D$1*31*E11</f>
        <v>372000</v>
      </c>
      <c r="G11" s="21">
        <f t="shared" si="1"/>
        <v>124000</v>
      </c>
    </row>
    <row r="12" spans="1:7" ht="19.5" customHeight="1" x14ac:dyDescent="0.2">
      <c r="A12" s="19" t="s">
        <v>31</v>
      </c>
      <c r="B12" s="20">
        <v>1</v>
      </c>
      <c r="C12" s="35" t="str">
        <f t="shared" si="0"/>
        <v>Haute Saison</v>
      </c>
      <c r="D12" s="14">
        <f>B12*$D$1*30*Hypothèses!B$8</f>
        <v>240000</v>
      </c>
      <c r="E12" s="8">
        <f>IF(B12&gt;=0.8,Hypothèses!B$9,IF(B12&gt;=0.51,Hypothèses!B$10,Hypothèses!B$11))</f>
        <v>1500</v>
      </c>
      <c r="F12" s="21">
        <f>B12*$D$1*30*E12</f>
        <v>360000</v>
      </c>
      <c r="G12" s="21">
        <f t="shared" si="1"/>
        <v>120000</v>
      </c>
    </row>
    <row r="13" spans="1:7" ht="19.5" customHeight="1" x14ac:dyDescent="0.2">
      <c r="A13" s="22" t="s">
        <v>32</v>
      </c>
      <c r="B13" s="20">
        <v>0.8</v>
      </c>
      <c r="C13" s="35" t="str">
        <f t="shared" si="0"/>
        <v>Haute Saison</v>
      </c>
      <c r="D13" s="12">
        <f>B13*$D$1*31*Hypothèses!B$8</f>
        <v>198400</v>
      </c>
      <c r="E13" s="8">
        <f>IF(B13&gt;=0.8,Hypothèses!B$9,IF(B13&gt;=0.51,Hypothèses!B$10,Hypothèses!B$11))</f>
        <v>1500</v>
      </c>
      <c r="F13" s="21">
        <f>B13*$D$1*31*E13</f>
        <v>297600</v>
      </c>
      <c r="G13" s="21">
        <f t="shared" si="1"/>
        <v>99200</v>
      </c>
    </row>
    <row r="14" spans="1:7" ht="19.5" customHeight="1" x14ac:dyDescent="0.2">
      <c r="A14" s="19" t="s">
        <v>33</v>
      </c>
      <c r="B14" s="20">
        <v>0.6</v>
      </c>
      <c r="C14" s="23" t="str">
        <f t="shared" si="0"/>
        <v>Moyenne Saison</v>
      </c>
      <c r="D14" s="14">
        <f>B14*$D$1*30*Hypothèses!B$8</f>
        <v>144000</v>
      </c>
      <c r="E14" s="8">
        <f>IF(B14&gt;=0.8,Hypothèses!B$9,IF(B14&gt;=0.51,Hypothèses!B$10,Hypothèses!B$11))</f>
        <v>1200</v>
      </c>
      <c r="F14" s="21">
        <f>B14*$D$1*30*E14</f>
        <v>172800</v>
      </c>
      <c r="G14" s="21">
        <f t="shared" si="1"/>
        <v>28800</v>
      </c>
    </row>
    <row r="15" spans="1:7" ht="19.5" customHeight="1" x14ac:dyDescent="0.2">
      <c r="A15" s="22" t="s">
        <v>34</v>
      </c>
      <c r="B15" s="20">
        <v>0.65</v>
      </c>
      <c r="C15" s="23" t="str">
        <f t="shared" si="0"/>
        <v>Moyenne Saison</v>
      </c>
      <c r="D15" s="12">
        <f>B15*$D$1*31*Hypothèses!B$8</f>
        <v>161200.00000000003</v>
      </c>
      <c r="E15" s="8">
        <f>IF(B15&gt;=0.8,Hypothèses!B$9,IF(B15&gt;=0.51,Hypothèses!B$10,Hypothèses!B$11))</f>
        <v>1200</v>
      </c>
      <c r="F15" s="21">
        <f>B15*$D$1*31*E15</f>
        <v>193440.00000000003</v>
      </c>
      <c r="G15" s="21">
        <f t="shared" si="1"/>
        <v>32240</v>
      </c>
    </row>
    <row r="16" spans="1:7" ht="21.75" customHeight="1" x14ac:dyDescent="0.2">
      <c r="A16" s="47" t="s">
        <v>35</v>
      </c>
      <c r="B16" s="47"/>
      <c r="C16" s="24">
        <f>AVERAGE(B4:B15)</f>
        <v>0.73333333333333339</v>
      </c>
      <c r="D16" s="25">
        <f>SUM(D4:D15)</f>
        <v>2145600</v>
      </c>
      <c r="E16" s="26" t="s">
        <v>51</v>
      </c>
      <c r="F16" s="27">
        <f>SUM(F4:F15)</f>
        <v>2845440</v>
      </c>
      <c r="G16" s="27">
        <f>SUM(G4:G15)</f>
        <v>699840</v>
      </c>
    </row>
    <row r="18" spans="1:7" ht="18" customHeight="1" x14ac:dyDescent="0.2">
      <c r="A18" s="45" t="s">
        <v>36</v>
      </c>
      <c r="B18" s="45"/>
      <c r="C18" s="45"/>
      <c r="D18" s="45"/>
      <c r="E18" s="48">
        <f>(F16-D16)/D16</f>
        <v>0.32617449664429532</v>
      </c>
      <c r="F18" s="48"/>
      <c r="G18" s="48"/>
    </row>
    <row r="19" spans="1:7" ht="18" customHeight="1" x14ac:dyDescent="0.2">
      <c r="A19" s="45" t="s">
        <v>37</v>
      </c>
      <c r="B19" s="45"/>
      <c r="C19" s="45"/>
      <c r="D19" s="45"/>
      <c r="E19" s="46">
        <f>F16/(365*$D$1)</f>
        <v>974.46575342465758</v>
      </c>
      <c r="F19" s="46"/>
      <c r="G19" s="46"/>
    </row>
    <row r="20" spans="1:7" ht="18" customHeight="1" x14ac:dyDescent="0.2">
      <c r="A20" s="45" t="s">
        <v>38</v>
      </c>
      <c r="B20" s="45"/>
      <c r="C20" s="45"/>
      <c r="D20" s="45"/>
      <c r="E20" s="46">
        <f>D16/(365*$D$1)</f>
        <v>734.79452054794524</v>
      </c>
      <c r="F20" s="46"/>
      <c r="G20" s="46"/>
    </row>
  </sheetData>
  <mergeCells count="16">
    <mergeCell ref="A20:D20"/>
    <mergeCell ref="E20:G20"/>
    <mergeCell ref="A16:B16"/>
    <mergeCell ref="A18:D18"/>
    <mergeCell ref="E18:G18"/>
    <mergeCell ref="A19:D19"/>
    <mergeCell ref="E19:G19"/>
    <mergeCell ref="A1:C1"/>
    <mergeCell ref="E1:G1"/>
    <mergeCell ref="A2:A3"/>
    <mergeCell ref="B2:B3"/>
    <mergeCell ref="C2:C3"/>
    <mergeCell ref="D2:D3"/>
    <mergeCell ref="E2:E3"/>
    <mergeCell ref="F2:F3"/>
    <mergeCell ref="G2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zoomScaleNormal="100" workbookViewId="0">
      <selection activeCell="B4" sqref="B4"/>
    </sheetView>
  </sheetViews>
  <sheetFormatPr baseColWidth="10" defaultColWidth="8.6640625" defaultRowHeight="15" x14ac:dyDescent="0.2"/>
  <cols>
    <col min="1" max="1" width="14" customWidth="1"/>
    <col min="2" max="4" width="18" customWidth="1"/>
  </cols>
  <sheetData>
    <row r="1" spans="1:4" ht="24" customHeight="1" x14ac:dyDescent="0.2">
      <c r="A1" s="49" t="s">
        <v>52</v>
      </c>
      <c r="B1" s="49"/>
      <c r="C1" s="49"/>
      <c r="D1" s="49"/>
    </row>
    <row r="2" spans="1:4" ht="15.75" customHeight="1" x14ac:dyDescent="0.2">
      <c r="A2" s="28" t="s">
        <v>39</v>
      </c>
      <c r="B2" s="28" t="s">
        <v>40</v>
      </c>
      <c r="C2" s="5" t="s">
        <v>41</v>
      </c>
      <c r="D2" s="5" t="s">
        <v>42</v>
      </c>
    </row>
    <row r="3" spans="1:4" ht="18" customHeight="1" x14ac:dyDescent="0.2">
      <c r="A3" s="11" t="s">
        <v>23</v>
      </c>
      <c r="B3" s="12">
        <f>'Saisonnalité &amp; CA'!D4</f>
        <v>124000</v>
      </c>
      <c r="C3" s="12">
        <f>'Saisonnalité &amp; CA'!F4</f>
        <v>111600</v>
      </c>
      <c r="D3" s="21">
        <f>'Saisonnalité &amp; CA'!G4</f>
        <v>-12400</v>
      </c>
    </row>
    <row r="4" spans="1:4" ht="18" customHeight="1" x14ac:dyDescent="0.2">
      <c r="A4" s="13" t="s">
        <v>24</v>
      </c>
      <c r="B4" s="14">
        <f>'Saisonnalité &amp; CA'!D5</f>
        <v>112000</v>
      </c>
      <c r="C4" s="14">
        <f>'Saisonnalité &amp; CA'!F5</f>
        <v>100800</v>
      </c>
      <c r="D4" s="29">
        <f>'Saisonnalité &amp; CA'!G5</f>
        <v>-11200</v>
      </c>
    </row>
    <row r="5" spans="1:4" ht="18" customHeight="1" x14ac:dyDescent="0.2">
      <c r="A5" s="11" t="s">
        <v>25</v>
      </c>
      <c r="B5" s="12">
        <f>'Saisonnalité &amp; CA'!D6</f>
        <v>136400</v>
      </c>
      <c r="C5" s="12">
        <f>'Saisonnalité &amp; CA'!F6</f>
        <v>163680</v>
      </c>
      <c r="D5" s="21">
        <f>'Saisonnalité &amp; CA'!G6</f>
        <v>27280</v>
      </c>
    </row>
    <row r="6" spans="1:4" ht="18" customHeight="1" x14ac:dyDescent="0.2">
      <c r="A6" s="13" t="s">
        <v>26</v>
      </c>
      <c r="B6" s="14">
        <f>'Saisonnalité &amp; CA'!D7</f>
        <v>156000</v>
      </c>
      <c r="C6" s="14">
        <f>'Saisonnalité &amp; CA'!F7</f>
        <v>187200</v>
      </c>
      <c r="D6" s="29">
        <f>'Saisonnalité &amp; CA'!G7</f>
        <v>31200</v>
      </c>
    </row>
    <row r="7" spans="1:4" ht="18" customHeight="1" x14ac:dyDescent="0.2">
      <c r="A7" s="11" t="s">
        <v>27</v>
      </c>
      <c r="B7" s="12">
        <f>'Saisonnalité &amp; CA'!D8</f>
        <v>173600</v>
      </c>
      <c r="C7" s="12">
        <f>'Saisonnalité &amp; CA'!F8</f>
        <v>208320</v>
      </c>
      <c r="D7" s="21">
        <f>'Saisonnalité &amp; CA'!G8</f>
        <v>34720</v>
      </c>
    </row>
    <row r="8" spans="1:4" ht="18" customHeight="1" x14ac:dyDescent="0.2">
      <c r="A8" s="13" t="s">
        <v>28</v>
      </c>
      <c r="B8" s="14">
        <f>'Saisonnalité &amp; CA'!D9</f>
        <v>204000</v>
      </c>
      <c r="C8" s="14">
        <f>'Saisonnalité &amp; CA'!F9</f>
        <v>306000</v>
      </c>
      <c r="D8" s="29">
        <f>'Saisonnalité &amp; CA'!G9</f>
        <v>102000</v>
      </c>
    </row>
    <row r="9" spans="1:4" ht="18" customHeight="1" x14ac:dyDescent="0.2">
      <c r="A9" s="11" t="s">
        <v>29</v>
      </c>
      <c r="B9" s="12">
        <f>'Saisonnalité &amp; CA'!D10</f>
        <v>248000</v>
      </c>
      <c r="C9" s="12">
        <f>'Saisonnalité &amp; CA'!F10</f>
        <v>372000</v>
      </c>
      <c r="D9" s="21">
        <f>'Saisonnalité &amp; CA'!G10</f>
        <v>124000</v>
      </c>
    </row>
    <row r="10" spans="1:4" ht="18" customHeight="1" x14ac:dyDescent="0.2">
      <c r="A10" s="13" t="s">
        <v>30</v>
      </c>
      <c r="B10" s="14">
        <f>'Saisonnalité &amp; CA'!D11</f>
        <v>248000</v>
      </c>
      <c r="C10" s="14">
        <f>'Saisonnalité &amp; CA'!F11</f>
        <v>372000</v>
      </c>
      <c r="D10" s="29">
        <f>'Saisonnalité &amp; CA'!G11</f>
        <v>124000</v>
      </c>
    </row>
    <row r="11" spans="1:4" ht="18" customHeight="1" x14ac:dyDescent="0.2">
      <c r="A11" s="11" t="s">
        <v>31</v>
      </c>
      <c r="B11" s="12">
        <f>'Saisonnalité &amp; CA'!D12</f>
        <v>240000</v>
      </c>
      <c r="C11" s="12">
        <f>'Saisonnalité &amp; CA'!F12</f>
        <v>360000</v>
      </c>
      <c r="D11" s="21">
        <f>'Saisonnalité &amp; CA'!G12</f>
        <v>120000</v>
      </c>
    </row>
    <row r="12" spans="1:4" ht="18" customHeight="1" x14ac:dyDescent="0.2">
      <c r="A12" s="13" t="s">
        <v>32</v>
      </c>
      <c r="B12" s="14">
        <f>'Saisonnalité &amp; CA'!D13</f>
        <v>198400</v>
      </c>
      <c r="C12" s="14">
        <f>'Saisonnalité &amp; CA'!F13</f>
        <v>297600</v>
      </c>
      <c r="D12" s="29">
        <f>'Saisonnalité &amp; CA'!G13</f>
        <v>99200</v>
      </c>
    </row>
    <row r="13" spans="1:4" ht="18" customHeight="1" x14ac:dyDescent="0.2">
      <c r="A13" s="11" t="s">
        <v>33</v>
      </c>
      <c r="B13" s="12">
        <f>'Saisonnalité &amp; CA'!D14</f>
        <v>144000</v>
      </c>
      <c r="C13" s="12">
        <f>'Saisonnalité &amp; CA'!F14</f>
        <v>172800</v>
      </c>
      <c r="D13" s="21">
        <f>'Saisonnalité &amp; CA'!G14</f>
        <v>28800</v>
      </c>
    </row>
    <row r="14" spans="1:4" ht="18" customHeight="1" x14ac:dyDescent="0.2">
      <c r="A14" s="13" t="s">
        <v>34</v>
      </c>
      <c r="B14" s="14">
        <f>'Saisonnalité &amp; CA'!D15</f>
        <v>161200.00000000003</v>
      </c>
      <c r="C14" s="14">
        <f>'Saisonnalité &amp; CA'!F15</f>
        <v>193440.00000000003</v>
      </c>
      <c r="D14" s="29">
        <f>'Saisonnalité &amp; CA'!G15</f>
        <v>32240</v>
      </c>
    </row>
    <row r="15" spans="1:4" ht="19.5" customHeight="1" x14ac:dyDescent="0.2">
      <c r="A15" s="30" t="s">
        <v>43</v>
      </c>
      <c r="B15" s="31">
        <f>SUM(B3:B14)</f>
        <v>2145600</v>
      </c>
      <c r="C15" s="31">
        <f>SUM(C3:C14)</f>
        <v>2845440</v>
      </c>
      <c r="D15" s="32">
        <f>SUM(D3:D14)</f>
        <v>699840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Hypothèses</vt:lpstr>
      <vt:lpstr>Saisonnalité &amp; CA</vt:lpstr>
      <vt:lpstr>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1</cp:revision>
  <dcterms:created xsi:type="dcterms:W3CDTF">2026-02-28T10:43:53Z</dcterms:created>
  <dcterms:modified xsi:type="dcterms:W3CDTF">2026-03-01T09:13:03Z</dcterms:modified>
  <dc:language>en-US</dc:language>
</cp:coreProperties>
</file>